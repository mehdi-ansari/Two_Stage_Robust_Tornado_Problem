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AAA\OSU\Tornado_proposal\Git\Two_Stage_Robust_Tornado_Problem\"/>
    </mc:Choice>
  </mc:AlternateContent>
  <xr:revisionPtr revIDLastSave="0" documentId="13_ncr:1_{5956263A-C289-4058-BC43-6AC4120281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" i="1" l="1"/>
  <c r="BB4" i="1"/>
  <c r="BB5" i="1"/>
  <c r="BB6" i="1"/>
  <c r="BB7" i="1"/>
  <c r="BB8" i="1"/>
  <c r="BB9" i="1"/>
  <c r="BB10" i="1"/>
  <c r="BB11" i="1"/>
  <c r="BB12" i="1"/>
  <c r="BB13" i="1"/>
  <c r="BB14" i="1"/>
  <c r="BB15" i="1"/>
  <c r="BB18" i="1"/>
  <c r="BB19" i="1"/>
  <c r="BB27" i="1"/>
  <c r="BB28" i="1"/>
  <c r="BB29" i="1"/>
  <c r="BB30" i="1"/>
  <c r="BB32" i="1"/>
  <c r="BB36" i="1"/>
  <c r="BB37" i="1"/>
  <c r="BB38" i="1"/>
  <c r="BB39" i="1"/>
  <c r="BB40" i="1"/>
  <c r="BB41" i="1"/>
  <c r="BB42" i="1"/>
  <c r="BB43" i="1"/>
  <c r="BB44" i="1"/>
  <c r="BB23" i="1"/>
  <c r="BB45" i="1"/>
  <c r="BB46" i="1"/>
  <c r="BB47" i="1"/>
  <c r="BB48" i="1"/>
  <c r="BB35" i="1"/>
  <c r="BB24" i="1"/>
  <c r="BB49" i="1"/>
  <c r="BB20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21" i="1"/>
  <c r="BB64" i="1"/>
  <c r="BB65" i="1"/>
  <c r="BB66" i="1"/>
  <c r="BB67" i="1"/>
  <c r="BB31" i="1"/>
  <c r="BB68" i="1"/>
  <c r="BB16" i="1"/>
  <c r="BB34" i="1"/>
  <c r="BB69" i="1"/>
  <c r="BB25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26" i="1"/>
  <c r="BB33" i="1"/>
  <c r="BB88" i="1"/>
  <c r="BB89" i="1"/>
  <c r="BB90" i="1"/>
  <c r="BB91" i="1"/>
  <c r="BB92" i="1"/>
  <c r="BB17" i="1"/>
  <c r="BB93" i="1"/>
  <c r="BB94" i="1"/>
  <c r="BB95" i="1"/>
  <c r="BB96" i="1"/>
  <c r="BB97" i="1"/>
  <c r="BB98" i="1"/>
  <c r="BB99" i="1"/>
  <c r="BB22" i="1"/>
  <c r="BB100" i="1"/>
  <c r="BB101" i="1"/>
  <c r="BB2" i="1"/>
  <c r="A106" i="1"/>
  <c r="A105" i="1"/>
  <c r="A104" i="1"/>
  <c r="BA7" i="1"/>
  <c r="BA29" i="1" l="1"/>
  <c r="BA101" i="1"/>
  <c r="BA4" i="1"/>
  <c r="BA38" i="1"/>
  <c r="BA39" i="1"/>
  <c r="BA32" i="1"/>
  <c r="BA40" i="1"/>
  <c r="BA41" i="1"/>
  <c r="BA11" i="1"/>
  <c r="BA10" i="1"/>
  <c r="BA42" i="1"/>
  <c r="BA43" i="1"/>
  <c r="BA44" i="1"/>
  <c r="BA23" i="1"/>
  <c r="BA45" i="1"/>
  <c r="BA46" i="1"/>
  <c r="BA47" i="1"/>
  <c r="BA48" i="1"/>
  <c r="BA35" i="1"/>
  <c r="BA24" i="1"/>
  <c r="BA49" i="1"/>
  <c r="BA30" i="1"/>
  <c r="BA8" i="1"/>
  <c r="BA20" i="1"/>
  <c r="BA50" i="1"/>
  <c r="BA51" i="1"/>
  <c r="BA52" i="1"/>
  <c r="BA19" i="1"/>
  <c r="BA53" i="1"/>
  <c r="BA54" i="1"/>
  <c r="BA55" i="1"/>
  <c r="BA56" i="1"/>
  <c r="BA36" i="1"/>
  <c r="BA57" i="1"/>
  <c r="BA58" i="1"/>
  <c r="BA59" i="1"/>
  <c r="BA60" i="1"/>
  <c r="BA61" i="1"/>
  <c r="BA62" i="1"/>
  <c r="BA13" i="1"/>
  <c r="BA63" i="1"/>
  <c r="BA21" i="1"/>
  <c r="BA12" i="1"/>
  <c r="BA64" i="1"/>
  <c r="BA65" i="1"/>
  <c r="BA18" i="1"/>
  <c r="BA66" i="1"/>
  <c r="BA67" i="1"/>
  <c r="BA31" i="1"/>
  <c r="BA68" i="1"/>
  <c r="BA16" i="1"/>
  <c r="BA34" i="1"/>
  <c r="BA3" i="1"/>
  <c r="BA2" i="1"/>
  <c r="BA15" i="1"/>
  <c r="BA28" i="1"/>
  <c r="BA69" i="1"/>
  <c r="BA25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5" i="1"/>
  <c r="BA83" i="1"/>
  <c r="BA84" i="1"/>
  <c r="BA6" i="1"/>
  <c r="BA85" i="1"/>
  <c r="BA86" i="1"/>
  <c r="BA9" i="1"/>
  <c r="BA87" i="1"/>
  <c r="BA27" i="1"/>
  <c r="BA26" i="1"/>
  <c r="BA33" i="1"/>
  <c r="BA88" i="1"/>
  <c r="BA89" i="1"/>
  <c r="BA90" i="1"/>
  <c r="BA91" i="1"/>
  <c r="BA92" i="1"/>
  <c r="BA17" i="1"/>
  <c r="BA14" i="1"/>
  <c r="BA93" i="1"/>
  <c r="BA94" i="1"/>
  <c r="BA95" i="1"/>
  <c r="BA96" i="1"/>
  <c r="BA97" i="1"/>
  <c r="BA98" i="1"/>
  <c r="BA99" i="1"/>
  <c r="BA22" i="1"/>
  <c r="BA100" i="1"/>
  <c r="BA37" i="1"/>
  <c r="B77" i="1" l="1"/>
  <c r="BC77" i="1" s="1"/>
  <c r="B81" i="1"/>
  <c r="BC81" i="1" s="1"/>
  <c r="B32" i="1"/>
  <c r="BC32" i="1" s="1"/>
  <c r="B90" i="1"/>
  <c r="BC90" i="1" s="1"/>
  <c r="B82" i="1"/>
  <c r="BC82" i="1" s="1"/>
  <c r="B29" i="1"/>
  <c r="BC29" i="1" s="1"/>
  <c r="B61" i="1"/>
  <c r="BC61" i="1" s="1"/>
  <c r="B30" i="1"/>
  <c r="BC30" i="1" s="1"/>
  <c r="B63" i="1"/>
  <c r="BC63" i="1" s="1"/>
  <c r="B28" i="1"/>
  <c r="BC28" i="1" s="1"/>
  <c r="B27" i="1"/>
  <c r="BC27" i="1" s="1"/>
  <c r="B73" i="1"/>
  <c r="BC73" i="1" s="1"/>
  <c r="B49" i="1"/>
  <c r="BC49" i="1" s="1"/>
  <c r="B42" i="1"/>
  <c r="BC42" i="1" s="1"/>
  <c r="B15" i="1"/>
  <c r="BC15" i="1" s="1"/>
  <c r="B59" i="1"/>
  <c r="BC59" i="1" s="1"/>
  <c r="B64" i="1"/>
  <c r="BC64" i="1" s="1"/>
  <c r="B67" i="1"/>
  <c r="BC67" i="1" s="1"/>
  <c r="B11" i="1"/>
  <c r="BC11" i="1" s="1"/>
  <c r="B46" i="1"/>
  <c r="BC46" i="1" s="1"/>
  <c r="B72" i="1"/>
  <c r="BC72" i="1" s="1"/>
  <c r="B9" i="1"/>
  <c r="BC9" i="1" s="1"/>
  <c r="B7" i="1"/>
  <c r="BC7" i="1" s="1"/>
  <c r="B101" i="1"/>
  <c r="BC101" i="1" s="1"/>
  <c r="B93" i="1"/>
  <c r="BC93" i="1" s="1"/>
  <c r="B75" i="1"/>
  <c r="BC75" i="1" s="1"/>
  <c r="B87" i="1"/>
  <c r="BC87" i="1" s="1"/>
  <c r="B37" i="1"/>
  <c r="BC37" i="1" s="1"/>
  <c r="B8" i="1"/>
  <c r="BC8" i="1" s="1"/>
  <c r="B56" i="1"/>
  <c r="BC56" i="1" s="1"/>
  <c r="B2" i="1"/>
  <c r="BC2" i="1" s="1"/>
  <c r="B33" i="1"/>
  <c r="BC33" i="1" s="1"/>
  <c r="B43" i="1"/>
  <c r="BC43" i="1" s="1"/>
  <c r="B6" i="1"/>
  <c r="BC6" i="1" s="1"/>
  <c r="B68" i="1"/>
  <c r="BC68" i="1" s="1"/>
  <c r="B24" i="1"/>
  <c r="BC24" i="1" s="1"/>
  <c r="B100" i="1"/>
  <c r="BC100" i="1" s="1"/>
  <c r="B5" i="1"/>
  <c r="BC5" i="1" s="1"/>
  <c r="B66" i="1"/>
  <c r="BC66" i="1" s="1"/>
  <c r="B31" i="1"/>
  <c r="BC31" i="1" s="1"/>
  <c r="B86" i="1"/>
  <c r="BC86" i="1" s="1"/>
  <c r="B97" i="1"/>
  <c r="BC97" i="1" s="1"/>
  <c r="B22" i="1"/>
  <c r="BC22" i="1" s="1"/>
  <c r="B3" i="1"/>
  <c r="BC3" i="1" s="1"/>
  <c r="B76" i="1"/>
  <c r="BC76" i="1" s="1"/>
  <c r="B74" i="1"/>
  <c r="BC74" i="1" s="1"/>
  <c r="B45" i="1"/>
  <c r="BC45" i="1" s="1"/>
  <c r="B20" i="1"/>
  <c r="BC20" i="1" s="1"/>
  <c r="B95" i="1"/>
  <c r="BC95" i="1" s="1"/>
  <c r="B53" i="1"/>
  <c r="BC53" i="1" s="1"/>
  <c r="B4" i="1"/>
  <c r="BC4" i="1" s="1"/>
  <c r="B26" i="1"/>
  <c r="BC26" i="1" s="1"/>
  <c r="B65" i="1"/>
  <c r="BC65" i="1" s="1"/>
  <c r="B17" i="1"/>
  <c r="BC17" i="1" s="1"/>
  <c r="B14" i="1"/>
  <c r="BC14" i="1" s="1"/>
  <c r="B51" i="1"/>
  <c r="BC51" i="1" s="1"/>
  <c r="B94" i="1"/>
  <c r="BC94" i="1" s="1"/>
  <c r="B12" i="1"/>
  <c r="BC12" i="1" s="1"/>
  <c r="B85" i="1"/>
  <c r="BC85" i="1" s="1"/>
  <c r="B21" i="1"/>
  <c r="BC21" i="1" s="1"/>
  <c r="B41" i="1"/>
  <c r="BC41" i="1" s="1"/>
  <c r="B48" i="1"/>
  <c r="BC48" i="1" s="1"/>
  <c r="B60" i="1"/>
  <c r="BC60" i="1" s="1"/>
  <c r="B52" i="1"/>
  <c r="BC52" i="1" s="1"/>
  <c r="B10" i="1"/>
  <c r="BC10" i="1" s="1"/>
  <c r="B71" i="1"/>
  <c r="BC71" i="1" s="1"/>
  <c r="B47" i="1"/>
  <c r="BC47" i="1" s="1"/>
  <c r="B88" i="1"/>
  <c r="BC88" i="1" s="1"/>
  <c r="B23" i="1"/>
  <c r="BC23" i="1" s="1"/>
  <c r="B78" i="1"/>
  <c r="BC78" i="1" s="1"/>
  <c r="B70" i="1"/>
  <c r="BC70" i="1" s="1"/>
  <c r="B25" i="1"/>
  <c r="BC25" i="1" s="1"/>
  <c r="B39" i="1"/>
  <c r="BC39" i="1" s="1"/>
  <c r="B79" i="1"/>
  <c r="BC79" i="1" s="1"/>
  <c r="B92" i="1"/>
  <c r="BC92" i="1" s="1"/>
  <c r="B13" i="1"/>
  <c r="BC13" i="1" s="1"/>
  <c r="B55" i="1"/>
  <c r="BC55" i="1" s="1"/>
  <c r="B19" i="1"/>
  <c r="BC19" i="1" s="1"/>
  <c r="B83" i="1"/>
  <c r="BC83" i="1" s="1"/>
  <c r="B89" i="1"/>
  <c r="BC89" i="1" s="1"/>
  <c r="B58" i="1"/>
  <c r="BC58" i="1" s="1"/>
  <c r="B18" i="1"/>
  <c r="BC18" i="1" s="1"/>
  <c r="B62" i="1"/>
  <c r="BC62" i="1" s="1"/>
  <c r="B16" i="1"/>
  <c r="BC16" i="1" s="1"/>
  <c r="B34" i="1"/>
  <c r="BC34" i="1" s="1"/>
  <c r="B40" i="1"/>
  <c r="BC40" i="1" s="1"/>
  <c r="B98" i="1"/>
  <c r="BC98" i="1" s="1"/>
  <c r="B84" i="1"/>
  <c r="BC84" i="1" s="1"/>
  <c r="B91" i="1"/>
  <c r="BC91" i="1" s="1"/>
  <c r="B54" i="1"/>
  <c r="BC54" i="1" s="1"/>
  <c r="B35" i="1"/>
  <c r="BC35" i="1" s="1"/>
  <c r="B50" i="1"/>
  <c r="BC50" i="1" s="1"/>
  <c r="B96" i="1"/>
  <c r="BC96" i="1" s="1"/>
  <c r="B57" i="1"/>
  <c r="BC57" i="1" s="1"/>
  <c r="B44" i="1"/>
  <c r="BC44" i="1" s="1"/>
  <c r="B69" i="1"/>
  <c r="BC69" i="1" s="1"/>
  <c r="B99" i="1"/>
  <c r="BC99" i="1" s="1"/>
  <c r="B80" i="1"/>
  <c r="BC80" i="1" s="1"/>
  <c r="B38" i="1"/>
  <c r="BC38" i="1" s="1"/>
  <c r="B36" i="1"/>
  <c r="BC36" i="1" s="1"/>
</calcChain>
</file>

<file path=xl/sharedStrings.xml><?xml version="1.0" encoding="utf-8"?>
<sst xmlns="http://schemas.openxmlformats.org/spreadsheetml/2006/main" count="5008" uniqueCount="10">
  <si>
    <t>Block ID</t>
  </si>
  <si>
    <t>number of hit</t>
  </si>
  <si>
    <t>NO</t>
  </si>
  <si>
    <t>YES</t>
  </si>
  <si>
    <t>0M</t>
  </si>
  <si>
    <t>15M</t>
  </si>
  <si>
    <t>30M</t>
  </si>
  <si>
    <t>worst scnr (20)</t>
  </si>
  <si>
    <t>worst*number of hits</t>
  </si>
  <si>
    <t>worst scnr (44)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</si>
</sst>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6"/>
  <sheetViews>
    <sheetView tabSelected="1" topLeftCell="AM1" workbookViewId="0">
      <selection activeCell="BB7" sqref="BB7"/>
    </sheetView>
  </sheetViews>
  <sheetFormatPr defaultRowHeight="14.5" x14ac:dyDescent="0.35"/>
  <cols>
    <col min="1" max="1" width="12.08984375" bestFit="1" customWidth="1"/>
    <col min="2" max="2" width="16.90625" bestFit="1" customWidth="1"/>
    <col min="53" max="53" width="15.54296875" bestFit="1" customWidth="1"/>
    <col min="54" max="54" width="15.54296875" customWidth="1"/>
    <col min="55" max="55" width="19" bestFit="1" customWidth="1"/>
  </cols>
  <sheetData>
    <row r="1" spans="1:55" x14ac:dyDescent="0.35">
      <c r="A1" s="2" t="s">
        <v>0</v>
      </c>
      <c r="B1" s="3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t="s">
        <v>7</v>
      </c>
      <c r="BB1" t="s">
        <v>9</v>
      </c>
      <c r="BC1" t="s">
        <v>8</v>
      </c>
    </row>
    <row r="2" spans="1:55" x14ac:dyDescent="0.35">
      <c r="A2" s="2">
        <v>54</v>
      </c>
      <c r="B2" s="3">
        <f>COUNTIF(C2:AZ2,"YES")</f>
        <v>25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3</v>
      </c>
      <c r="H2" s="1" t="s">
        <v>2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3</v>
      </c>
      <c r="U2" s="1" t="s">
        <v>3</v>
      </c>
      <c r="V2" s="1" t="s">
        <v>3</v>
      </c>
      <c r="W2" s="1" t="s">
        <v>2</v>
      </c>
      <c r="X2" s="1" t="s">
        <v>3</v>
      </c>
      <c r="Y2" s="1" t="s">
        <v>3</v>
      </c>
      <c r="Z2" s="1" t="s">
        <v>2</v>
      </c>
      <c r="AA2" s="1" t="s">
        <v>3</v>
      </c>
      <c r="AB2" s="1" t="s">
        <v>2</v>
      </c>
      <c r="AC2" s="1" t="s">
        <v>3</v>
      </c>
      <c r="AD2" s="1" t="s">
        <v>3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3</v>
      </c>
      <c r="AK2" s="1" t="s">
        <v>3</v>
      </c>
      <c r="AL2" s="1" t="s">
        <v>2</v>
      </c>
      <c r="AM2" s="1" t="s">
        <v>3</v>
      </c>
      <c r="AN2" s="1" t="s">
        <v>3</v>
      </c>
      <c r="AO2" s="1" t="s">
        <v>2</v>
      </c>
      <c r="AP2" s="1" t="s">
        <v>3</v>
      </c>
      <c r="AQ2" s="1" t="s">
        <v>2</v>
      </c>
      <c r="AR2" s="1" t="s">
        <v>3</v>
      </c>
      <c r="AS2" s="1" t="s">
        <v>2</v>
      </c>
      <c r="AT2" s="1" t="s">
        <v>2</v>
      </c>
      <c r="AU2" s="1" t="s">
        <v>3</v>
      </c>
      <c r="AV2" s="1" t="s">
        <v>2</v>
      </c>
      <c r="AW2" s="1" t="s">
        <v>3</v>
      </c>
      <c r="AX2" s="1" t="s">
        <v>2</v>
      </c>
      <c r="AY2" s="1" t="s">
        <v>2</v>
      </c>
      <c r="AZ2" s="1" t="s">
        <v>3</v>
      </c>
      <c r="BA2">
        <f>IF(V2="YES",1,0)</f>
        <v>1</v>
      </c>
      <c r="BB2">
        <f>IF(AT2="YES",1,0)</f>
        <v>0</v>
      </c>
      <c r="BC2">
        <f>MAX(BA2,BB2)*B2</f>
        <v>25</v>
      </c>
    </row>
    <row r="3" spans="1:55" x14ac:dyDescent="0.35">
      <c r="A3" s="2">
        <v>53</v>
      </c>
      <c r="B3" s="3">
        <f>COUNTIF(C3:AZ3,"YES")</f>
        <v>24</v>
      </c>
      <c r="C3" s="1" t="s">
        <v>3</v>
      </c>
      <c r="D3" s="1" t="s">
        <v>3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3</v>
      </c>
      <c r="J3" s="1" t="s">
        <v>2</v>
      </c>
      <c r="K3" s="1" t="s">
        <v>3</v>
      </c>
      <c r="L3" s="1" t="s">
        <v>2</v>
      </c>
      <c r="M3" s="1" t="s">
        <v>3</v>
      </c>
      <c r="N3" s="1" t="s">
        <v>3</v>
      </c>
      <c r="O3" s="1" t="s">
        <v>3</v>
      </c>
      <c r="P3" s="1" t="s">
        <v>2</v>
      </c>
      <c r="Q3" s="1" t="s">
        <v>3</v>
      </c>
      <c r="R3" s="1" t="s">
        <v>2</v>
      </c>
      <c r="S3" s="1" t="s">
        <v>2</v>
      </c>
      <c r="T3" s="1" t="s">
        <v>3</v>
      </c>
      <c r="U3" s="1" t="s">
        <v>2</v>
      </c>
      <c r="V3" s="1" t="s">
        <v>3</v>
      </c>
      <c r="W3" s="1" t="s">
        <v>3</v>
      </c>
      <c r="X3" s="1" t="s">
        <v>2</v>
      </c>
      <c r="Y3" s="1" t="s">
        <v>2</v>
      </c>
      <c r="Z3" s="1" t="s">
        <v>3</v>
      </c>
      <c r="AA3" s="1" t="s">
        <v>3</v>
      </c>
      <c r="AB3" s="1" t="s">
        <v>2</v>
      </c>
      <c r="AC3" s="1" t="s">
        <v>2</v>
      </c>
      <c r="AD3" s="1" t="s">
        <v>3</v>
      </c>
      <c r="AE3" s="1" t="s">
        <v>3</v>
      </c>
      <c r="AF3" s="1" t="s">
        <v>2</v>
      </c>
      <c r="AG3" s="1" t="s">
        <v>2</v>
      </c>
      <c r="AH3" s="1" t="s">
        <v>3</v>
      </c>
      <c r="AI3" s="1" t="s">
        <v>3</v>
      </c>
      <c r="AJ3" s="1" t="s">
        <v>2</v>
      </c>
      <c r="AK3" s="1" t="s">
        <v>3</v>
      </c>
      <c r="AL3" s="1" t="s">
        <v>2</v>
      </c>
      <c r="AM3" s="1" t="s">
        <v>2</v>
      </c>
      <c r="AN3" s="1" t="s">
        <v>3</v>
      </c>
      <c r="AO3" s="1" t="s">
        <v>2</v>
      </c>
      <c r="AP3" s="1" t="s">
        <v>3</v>
      </c>
      <c r="AQ3" s="1" t="s">
        <v>2</v>
      </c>
      <c r="AR3" s="1" t="s">
        <v>2</v>
      </c>
      <c r="AS3" s="1" t="s">
        <v>3</v>
      </c>
      <c r="AT3" s="1" t="s">
        <v>2</v>
      </c>
      <c r="AU3" s="1" t="s">
        <v>3</v>
      </c>
      <c r="AV3" s="1" t="s">
        <v>2</v>
      </c>
      <c r="AW3" s="1" t="s">
        <v>3</v>
      </c>
      <c r="AX3" s="1" t="s">
        <v>2</v>
      </c>
      <c r="AY3" s="1" t="s">
        <v>3</v>
      </c>
      <c r="AZ3" s="1" t="s">
        <v>2</v>
      </c>
      <c r="BA3">
        <f>IF(V3="YES",1,0)</f>
        <v>1</v>
      </c>
      <c r="BB3">
        <f>IF(AT3="YES",1,0)</f>
        <v>0</v>
      </c>
      <c r="BC3">
        <f>MAX(BA3,BB3)*B3</f>
        <v>24</v>
      </c>
    </row>
    <row r="4" spans="1:55" x14ac:dyDescent="0.35">
      <c r="A4" s="2">
        <v>2</v>
      </c>
      <c r="B4" s="3">
        <f>COUNTIF(C4:AZ4,"YES")</f>
        <v>23</v>
      </c>
      <c r="C4" s="1" t="s">
        <v>3</v>
      </c>
      <c r="D4" s="1" t="s">
        <v>3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3</v>
      </c>
      <c r="J4" s="1" t="s">
        <v>2</v>
      </c>
      <c r="K4" s="1" t="s">
        <v>3</v>
      </c>
      <c r="L4" s="1" t="s">
        <v>2</v>
      </c>
      <c r="M4" s="1" t="s">
        <v>3</v>
      </c>
      <c r="N4" s="1" t="s">
        <v>3</v>
      </c>
      <c r="O4" s="1" t="s">
        <v>3</v>
      </c>
      <c r="P4" s="1" t="s">
        <v>2</v>
      </c>
      <c r="Q4" s="1" t="s">
        <v>3</v>
      </c>
      <c r="R4" s="1" t="s">
        <v>2</v>
      </c>
      <c r="S4" s="1" t="s">
        <v>2</v>
      </c>
      <c r="T4" s="1" t="s">
        <v>3</v>
      </c>
      <c r="U4" s="1" t="s">
        <v>2</v>
      </c>
      <c r="V4" s="1" t="s">
        <v>3</v>
      </c>
      <c r="W4" s="1" t="s">
        <v>3</v>
      </c>
      <c r="X4" s="1" t="s">
        <v>2</v>
      </c>
      <c r="Y4" s="1" t="s">
        <v>2</v>
      </c>
      <c r="Z4" s="1" t="s">
        <v>3</v>
      </c>
      <c r="AA4" s="1" t="s">
        <v>3</v>
      </c>
      <c r="AB4" s="1" t="s">
        <v>2</v>
      </c>
      <c r="AC4" s="1" t="s">
        <v>2</v>
      </c>
      <c r="AD4" s="1" t="s">
        <v>3</v>
      </c>
      <c r="AE4" s="1" t="s">
        <v>3</v>
      </c>
      <c r="AF4" s="1" t="s">
        <v>2</v>
      </c>
      <c r="AG4" s="1" t="s">
        <v>2</v>
      </c>
      <c r="AH4" s="1" t="s">
        <v>3</v>
      </c>
      <c r="AI4" s="1" t="s">
        <v>3</v>
      </c>
      <c r="AJ4" s="1" t="s">
        <v>2</v>
      </c>
      <c r="AK4" s="1" t="s">
        <v>3</v>
      </c>
      <c r="AL4" s="1" t="s">
        <v>2</v>
      </c>
      <c r="AM4" s="1" t="s">
        <v>2</v>
      </c>
      <c r="AN4" s="1" t="s">
        <v>3</v>
      </c>
      <c r="AO4" s="1" t="s">
        <v>2</v>
      </c>
      <c r="AP4" s="1" t="s">
        <v>3</v>
      </c>
      <c r="AQ4" s="1" t="s">
        <v>2</v>
      </c>
      <c r="AR4" s="1" t="s">
        <v>3</v>
      </c>
      <c r="AS4" s="1" t="s">
        <v>3</v>
      </c>
      <c r="AT4" s="1" t="s">
        <v>2</v>
      </c>
      <c r="AU4" s="1" t="s">
        <v>2</v>
      </c>
      <c r="AV4" s="1" t="s">
        <v>2</v>
      </c>
      <c r="AW4" s="1" t="s">
        <v>2</v>
      </c>
      <c r="AX4" s="1" t="s">
        <v>2</v>
      </c>
      <c r="AY4" s="1" t="s">
        <v>3</v>
      </c>
      <c r="AZ4" s="1" t="s">
        <v>2</v>
      </c>
      <c r="BA4">
        <f>IF(V4="YES",1,0)</f>
        <v>1</v>
      </c>
      <c r="BB4">
        <f>IF(AT4="YES",1,0)</f>
        <v>0</v>
      </c>
      <c r="BC4">
        <f>MAX(BA4,BB4)*B4</f>
        <v>23</v>
      </c>
    </row>
    <row r="5" spans="1:55" x14ac:dyDescent="0.35">
      <c r="A5" s="2">
        <v>72</v>
      </c>
      <c r="B5" s="3">
        <f>COUNTIF(C5:AZ5,"YES")</f>
        <v>23</v>
      </c>
      <c r="C5" s="1" t="s">
        <v>2</v>
      </c>
      <c r="D5" s="1" t="s">
        <v>3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3</v>
      </c>
      <c r="J5" s="1" t="s">
        <v>3</v>
      </c>
      <c r="K5" s="1" t="s">
        <v>3</v>
      </c>
      <c r="L5" s="1" t="s">
        <v>2</v>
      </c>
      <c r="M5" s="1" t="s">
        <v>3</v>
      </c>
      <c r="N5" s="1" t="s">
        <v>3</v>
      </c>
      <c r="O5" s="1" t="s">
        <v>3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3</v>
      </c>
      <c r="U5" s="1" t="s">
        <v>2</v>
      </c>
      <c r="V5" s="1" t="s">
        <v>3</v>
      </c>
      <c r="W5" s="1" t="s">
        <v>3</v>
      </c>
      <c r="X5" s="1" t="s">
        <v>3</v>
      </c>
      <c r="Y5" s="1" t="s">
        <v>2</v>
      </c>
      <c r="Z5" s="1" t="s">
        <v>3</v>
      </c>
      <c r="AA5" s="1" t="s">
        <v>3</v>
      </c>
      <c r="AB5" s="1" t="s">
        <v>2</v>
      </c>
      <c r="AC5" s="1" t="s">
        <v>2</v>
      </c>
      <c r="AD5" s="1" t="s">
        <v>3</v>
      </c>
      <c r="AE5" s="1" t="s">
        <v>3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3</v>
      </c>
      <c r="AL5" s="1" t="s">
        <v>2</v>
      </c>
      <c r="AM5" s="1" t="s">
        <v>3</v>
      </c>
      <c r="AN5" s="1" t="s">
        <v>3</v>
      </c>
      <c r="AO5" s="1" t="s">
        <v>2</v>
      </c>
      <c r="AP5" s="1" t="s">
        <v>3</v>
      </c>
      <c r="AQ5" s="1" t="s">
        <v>2</v>
      </c>
      <c r="AR5" s="1" t="s">
        <v>3</v>
      </c>
      <c r="AS5" s="1" t="s">
        <v>3</v>
      </c>
      <c r="AT5" s="1" t="s">
        <v>2</v>
      </c>
      <c r="AU5" s="1" t="s">
        <v>3</v>
      </c>
      <c r="AV5" s="1" t="s">
        <v>2</v>
      </c>
      <c r="AW5" s="1" t="s">
        <v>2</v>
      </c>
      <c r="AX5" s="1" t="s">
        <v>2</v>
      </c>
      <c r="AY5" s="1" t="s">
        <v>3</v>
      </c>
      <c r="AZ5" s="1" t="s">
        <v>2</v>
      </c>
      <c r="BA5">
        <f>IF(V5="YES",1,0)</f>
        <v>1</v>
      </c>
      <c r="BB5">
        <f>IF(AT5="YES",1,0)</f>
        <v>0</v>
      </c>
      <c r="BC5">
        <f>MAX(BA5,BB5)*B5</f>
        <v>23</v>
      </c>
    </row>
    <row r="6" spans="1:55" x14ac:dyDescent="0.35">
      <c r="A6" s="2">
        <v>75</v>
      </c>
      <c r="B6" s="3">
        <f>COUNTIF(C6:AZ6,"YES")</f>
        <v>23</v>
      </c>
      <c r="C6" s="1" t="s">
        <v>2</v>
      </c>
      <c r="D6" s="1" t="s">
        <v>2</v>
      </c>
      <c r="E6" s="1" t="s">
        <v>2</v>
      </c>
      <c r="F6" s="1" t="s">
        <v>2</v>
      </c>
      <c r="G6" s="1" t="s">
        <v>3</v>
      </c>
      <c r="H6" s="1" t="s">
        <v>2</v>
      </c>
      <c r="I6" s="1" t="s">
        <v>2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3</v>
      </c>
      <c r="U6" s="1" t="s">
        <v>3</v>
      </c>
      <c r="V6" s="1" t="s">
        <v>3</v>
      </c>
      <c r="W6" s="1" t="s">
        <v>2</v>
      </c>
      <c r="X6" s="1" t="s">
        <v>2</v>
      </c>
      <c r="Y6" s="1" t="s">
        <v>2</v>
      </c>
      <c r="Z6" s="1" t="s">
        <v>3</v>
      </c>
      <c r="AA6" s="1" t="s">
        <v>3</v>
      </c>
      <c r="AB6" s="1" t="s">
        <v>2</v>
      </c>
      <c r="AC6" s="1" t="s">
        <v>2</v>
      </c>
      <c r="AD6" s="1" t="s">
        <v>3</v>
      </c>
      <c r="AE6" s="1" t="s">
        <v>3</v>
      </c>
      <c r="AF6" s="1" t="s">
        <v>2</v>
      </c>
      <c r="AG6" s="1" t="s">
        <v>2</v>
      </c>
      <c r="AH6" s="1" t="s">
        <v>2</v>
      </c>
      <c r="AI6" s="1" t="s">
        <v>3</v>
      </c>
      <c r="AJ6" s="1" t="s">
        <v>2</v>
      </c>
      <c r="AK6" s="1" t="s">
        <v>3</v>
      </c>
      <c r="AL6" s="1" t="s">
        <v>2</v>
      </c>
      <c r="AM6" s="1" t="s">
        <v>3</v>
      </c>
      <c r="AN6" s="1" t="s">
        <v>3</v>
      </c>
      <c r="AO6" s="1" t="s">
        <v>2</v>
      </c>
      <c r="AP6" s="1" t="s">
        <v>3</v>
      </c>
      <c r="AQ6" s="1" t="s">
        <v>2</v>
      </c>
      <c r="AR6" s="1" t="s">
        <v>2</v>
      </c>
      <c r="AS6" s="1" t="s">
        <v>3</v>
      </c>
      <c r="AT6" s="1" t="s">
        <v>2</v>
      </c>
      <c r="AU6" s="1" t="s">
        <v>3</v>
      </c>
      <c r="AV6" s="1" t="s">
        <v>2</v>
      </c>
      <c r="AW6" s="1" t="s">
        <v>3</v>
      </c>
      <c r="AX6" s="1" t="s">
        <v>2</v>
      </c>
      <c r="AY6" s="1" t="s">
        <v>3</v>
      </c>
      <c r="AZ6" s="1" t="s">
        <v>2</v>
      </c>
      <c r="BA6">
        <f>IF(V6="YES",1,0)</f>
        <v>1</v>
      </c>
      <c r="BB6">
        <f>IF(AT6="YES",1,0)</f>
        <v>0</v>
      </c>
      <c r="BC6">
        <f>MAX(BA6,BB6)*B6</f>
        <v>23</v>
      </c>
    </row>
    <row r="7" spans="1:55" x14ac:dyDescent="0.35">
      <c r="A7" s="2">
        <v>34</v>
      </c>
      <c r="B7" s="3">
        <f>COUNTIF(C7:AZ7,"YES")</f>
        <v>21</v>
      </c>
      <c r="C7" s="1" t="s">
        <v>2</v>
      </c>
      <c r="D7" s="1" t="s">
        <v>2</v>
      </c>
      <c r="E7" s="1" t="s">
        <v>3</v>
      </c>
      <c r="F7" s="1" t="s">
        <v>2</v>
      </c>
      <c r="G7" s="1" t="s">
        <v>3</v>
      </c>
      <c r="H7" s="1" t="s">
        <v>2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2</v>
      </c>
      <c r="N7" s="1" t="s">
        <v>3</v>
      </c>
      <c r="O7" s="1" t="s">
        <v>3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2</v>
      </c>
      <c r="U7" s="1" t="s">
        <v>3</v>
      </c>
      <c r="V7" s="1" t="s">
        <v>3</v>
      </c>
      <c r="W7" s="1" t="s">
        <v>2</v>
      </c>
      <c r="X7" s="1" t="s">
        <v>3</v>
      </c>
      <c r="Y7" s="1" t="s">
        <v>3</v>
      </c>
      <c r="Z7" s="1" t="s">
        <v>2</v>
      </c>
      <c r="AA7" s="1" t="s">
        <v>2</v>
      </c>
      <c r="AB7" s="1" t="s">
        <v>2</v>
      </c>
      <c r="AC7" s="1" t="s">
        <v>3</v>
      </c>
      <c r="AD7" s="1" t="s">
        <v>2</v>
      </c>
      <c r="AE7" s="1" t="s">
        <v>2</v>
      </c>
      <c r="AF7" s="1" t="s">
        <v>2</v>
      </c>
      <c r="AG7" s="1" t="s">
        <v>2</v>
      </c>
      <c r="AH7" s="1" t="s">
        <v>2</v>
      </c>
      <c r="AI7" s="1" t="s">
        <v>2</v>
      </c>
      <c r="AJ7" s="1" t="s">
        <v>3</v>
      </c>
      <c r="AK7" s="1" t="s">
        <v>2</v>
      </c>
      <c r="AL7" s="1" t="s">
        <v>2</v>
      </c>
      <c r="AM7" s="1" t="s">
        <v>3</v>
      </c>
      <c r="AN7" s="1" t="s">
        <v>3</v>
      </c>
      <c r="AO7" s="1" t="s">
        <v>2</v>
      </c>
      <c r="AP7" s="1" t="s">
        <v>3</v>
      </c>
      <c r="AQ7" s="1" t="s">
        <v>2</v>
      </c>
      <c r="AR7" s="1" t="s">
        <v>3</v>
      </c>
      <c r="AS7" s="1" t="s">
        <v>2</v>
      </c>
      <c r="AT7" s="1" t="s">
        <v>2</v>
      </c>
      <c r="AU7" s="1" t="s">
        <v>3</v>
      </c>
      <c r="AV7" s="1" t="s">
        <v>2</v>
      </c>
      <c r="AW7" s="1" t="s">
        <v>3</v>
      </c>
      <c r="AX7" s="1" t="s">
        <v>2</v>
      </c>
      <c r="AY7" s="1" t="s">
        <v>2</v>
      </c>
      <c r="AZ7" s="1" t="s">
        <v>3</v>
      </c>
      <c r="BA7">
        <f>IF(V7="YES",1,0)</f>
        <v>1</v>
      </c>
      <c r="BB7">
        <f>IF(AT7="YES",1,0)</f>
        <v>0</v>
      </c>
      <c r="BC7">
        <f>MAX(BA7,BB7)*B7</f>
        <v>21</v>
      </c>
    </row>
    <row r="8" spans="1:55" x14ac:dyDescent="0.35">
      <c r="A8" s="2">
        <v>22</v>
      </c>
      <c r="B8" s="3">
        <f>COUNTIF(C8:AZ8,"YES")</f>
        <v>21</v>
      </c>
      <c r="C8" s="1" t="s">
        <v>2</v>
      </c>
      <c r="D8" s="1" t="s">
        <v>2</v>
      </c>
      <c r="E8" s="1" t="s">
        <v>2</v>
      </c>
      <c r="F8" s="1" t="s">
        <v>2</v>
      </c>
      <c r="G8" s="1" t="s">
        <v>3</v>
      </c>
      <c r="H8" s="1" t="s">
        <v>2</v>
      </c>
      <c r="I8" s="1" t="s">
        <v>2</v>
      </c>
      <c r="J8" s="1" t="s">
        <v>3</v>
      </c>
      <c r="K8" s="1" t="s">
        <v>3</v>
      </c>
      <c r="L8" s="1" t="s">
        <v>3</v>
      </c>
      <c r="M8" s="1" t="s">
        <v>3</v>
      </c>
      <c r="N8" s="1" t="s">
        <v>2</v>
      </c>
      <c r="O8" s="1" t="s">
        <v>3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3</v>
      </c>
      <c r="U8" s="1" t="s">
        <v>3</v>
      </c>
      <c r="V8" s="1" t="s">
        <v>3</v>
      </c>
      <c r="W8" s="1" t="s">
        <v>2</v>
      </c>
      <c r="X8" s="1" t="s">
        <v>2</v>
      </c>
      <c r="Y8" s="1" t="s">
        <v>2</v>
      </c>
      <c r="Z8" s="1" t="s">
        <v>2</v>
      </c>
      <c r="AA8" s="1" t="s">
        <v>3</v>
      </c>
      <c r="AB8" s="1" t="s">
        <v>2</v>
      </c>
      <c r="AC8" s="1" t="s">
        <v>2</v>
      </c>
      <c r="AD8" s="1" t="s">
        <v>3</v>
      </c>
      <c r="AE8" s="1" t="s">
        <v>2</v>
      </c>
      <c r="AF8" s="1" t="s">
        <v>2</v>
      </c>
      <c r="AG8" s="1" t="s">
        <v>2</v>
      </c>
      <c r="AH8" s="1" t="s">
        <v>2</v>
      </c>
      <c r="AI8" s="1" t="s">
        <v>3</v>
      </c>
      <c r="AJ8" s="1" t="s">
        <v>3</v>
      </c>
      <c r="AK8" s="1" t="s">
        <v>3</v>
      </c>
      <c r="AL8" s="1" t="s">
        <v>2</v>
      </c>
      <c r="AM8" s="1" t="s">
        <v>3</v>
      </c>
      <c r="AN8" s="1" t="s">
        <v>3</v>
      </c>
      <c r="AO8" s="1" t="s">
        <v>2</v>
      </c>
      <c r="AP8" s="1" t="s">
        <v>3</v>
      </c>
      <c r="AQ8" s="1" t="s">
        <v>2</v>
      </c>
      <c r="AR8" s="1" t="s">
        <v>2</v>
      </c>
      <c r="AS8" s="1" t="s">
        <v>3</v>
      </c>
      <c r="AT8" s="1" t="s">
        <v>2</v>
      </c>
      <c r="AU8" s="1" t="s">
        <v>3</v>
      </c>
      <c r="AV8" s="1" t="s">
        <v>2</v>
      </c>
      <c r="AW8" s="1" t="s">
        <v>3</v>
      </c>
      <c r="AX8" s="1" t="s">
        <v>2</v>
      </c>
      <c r="AY8" s="1" t="s">
        <v>3</v>
      </c>
      <c r="AZ8" s="1" t="s">
        <v>2</v>
      </c>
      <c r="BA8">
        <f>IF(V8="YES",1,0)</f>
        <v>1</v>
      </c>
      <c r="BB8">
        <f>IF(AT8="YES",1,0)</f>
        <v>0</v>
      </c>
      <c r="BC8">
        <f>MAX(BA8,BB8)*B8</f>
        <v>21</v>
      </c>
    </row>
    <row r="9" spans="1:55" x14ac:dyDescent="0.35">
      <c r="A9" s="2">
        <v>78</v>
      </c>
      <c r="B9" s="3">
        <f>COUNTIF(C9:AZ9,"YES")</f>
        <v>20</v>
      </c>
      <c r="C9" s="1" t="s">
        <v>2</v>
      </c>
      <c r="D9" s="1" t="s">
        <v>2</v>
      </c>
      <c r="E9" s="1" t="s">
        <v>2</v>
      </c>
      <c r="F9" s="1" t="s">
        <v>2</v>
      </c>
      <c r="G9" s="1" t="s">
        <v>3</v>
      </c>
      <c r="H9" s="1" t="s">
        <v>2</v>
      </c>
      <c r="I9" s="1" t="s">
        <v>2</v>
      </c>
      <c r="J9" s="1" t="s">
        <v>3</v>
      </c>
      <c r="K9" s="1" t="s">
        <v>3</v>
      </c>
      <c r="L9" s="1" t="s">
        <v>3</v>
      </c>
      <c r="M9" s="1" t="s">
        <v>3</v>
      </c>
      <c r="N9" s="1" t="s">
        <v>2</v>
      </c>
      <c r="O9" s="1" t="s">
        <v>3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3</v>
      </c>
      <c r="U9" s="1" t="s">
        <v>3</v>
      </c>
      <c r="V9" s="1" t="s">
        <v>3</v>
      </c>
      <c r="W9" s="1" t="s">
        <v>2</v>
      </c>
      <c r="X9" s="1" t="s">
        <v>2</v>
      </c>
      <c r="Y9" s="1" t="s">
        <v>3</v>
      </c>
      <c r="Z9" s="1" t="s">
        <v>2</v>
      </c>
      <c r="AA9" s="1" t="s">
        <v>3</v>
      </c>
      <c r="AB9" s="1" t="s">
        <v>2</v>
      </c>
      <c r="AC9" s="1" t="s">
        <v>2</v>
      </c>
      <c r="AD9" s="1" t="s">
        <v>3</v>
      </c>
      <c r="AE9" s="1" t="s">
        <v>2</v>
      </c>
      <c r="AF9" s="1" t="s">
        <v>2</v>
      </c>
      <c r="AG9" s="1" t="s">
        <v>2</v>
      </c>
      <c r="AH9" s="1" t="s">
        <v>2</v>
      </c>
      <c r="AI9" s="1" t="s">
        <v>3</v>
      </c>
      <c r="AJ9" s="1" t="s">
        <v>3</v>
      </c>
      <c r="AK9" s="1" t="s">
        <v>3</v>
      </c>
      <c r="AL9" s="1" t="s">
        <v>2</v>
      </c>
      <c r="AM9" s="1" t="s">
        <v>3</v>
      </c>
      <c r="AN9" s="1" t="s">
        <v>3</v>
      </c>
      <c r="AO9" s="1" t="s">
        <v>2</v>
      </c>
      <c r="AP9" s="1" t="s">
        <v>3</v>
      </c>
      <c r="AQ9" s="1" t="s">
        <v>2</v>
      </c>
      <c r="AR9" s="1" t="s">
        <v>2</v>
      </c>
      <c r="AS9" s="1" t="s">
        <v>3</v>
      </c>
      <c r="AT9" s="1" t="s">
        <v>2</v>
      </c>
      <c r="AU9" s="1" t="s">
        <v>2</v>
      </c>
      <c r="AV9" s="1" t="s">
        <v>2</v>
      </c>
      <c r="AW9" s="1" t="s">
        <v>3</v>
      </c>
      <c r="AX9" s="1" t="s">
        <v>2</v>
      </c>
      <c r="AY9" s="1" t="s">
        <v>2</v>
      </c>
      <c r="AZ9" s="1" t="s">
        <v>2</v>
      </c>
      <c r="BA9">
        <f>IF(V9="YES",1,0)</f>
        <v>1</v>
      </c>
      <c r="BB9">
        <f>IF(AT9="YES",1,0)</f>
        <v>0</v>
      </c>
      <c r="BC9">
        <f>MAX(BA9,BB9)*B9</f>
        <v>20</v>
      </c>
    </row>
    <row r="10" spans="1:55" x14ac:dyDescent="0.35">
      <c r="A10" s="2">
        <v>9</v>
      </c>
      <c r="B10" s="3">
        <f>COUNTIF(C10:AZ10,"YES")</f>
        <v>18</v>
      </c>
      <c r="C10" s="1" t="s">
        <v>3</v>
      </c>
      <c r="D10" s="1" t="s">
        <v>2</v>
      </c>
      <c r="E10" s="1" t="s">
        <v>2</v>
      </c>
      <c r="F10" s="1" t="s">
        <v>2</v>
      </c>
      <c r="G10" s="1" t="s">
        <v>2</v>
      </c>
      <c r="H10" s="1" t="s">
        <v>3</v>
      </c>
      <c r="I10" s="1" t="s">
        <v>3</v>
      </c>
      <c r="J10" s="1" t="s">
        <v>2</v>
      </c>
      <c r="K10" s="1" t="s">
        <v>3</v>
      </c>
      <c r="L10" s="1" t="s">
        <v>2</v>
      </c>
      <c r="M10" s="1" t="s">
        <v>3</v>
      </c>
      <c r="N10" s="1" t="s">
        <v>2</v>
      </c>
      <c r="O10" s="1" t="s">
        <v>3</v>
      </c>
      <c r="P10" s="1" t="s">
        <v>2</v>
      </c>
      <c r="Q10" s="1" t="s">
        <v>3</v>
      </c>
      <c r="R10" s="1" t="s">
        <v>2</v>
      </c>
      <c r="S10" s="1" t="s">
        <v>2</v>
      </c>
      <c r="T10" s="1" t="s">
        <v>3</v>
      </c>
      <c r="U10" s="1" t="s">
        <v>2</v>
      </c>
      <c r="V10" s="1" t="s">
        <v>3</v>
      </c>
      <c r="W10" s="1" t="s">
        <v>3</v>
      </c>
      <c r="X10" s="1" t="s">
        <v>2</v>
      </c>
      <c r="Y10" s="1" t="s">
        <v>2</v>
      </c>
      <c r="Z10" s="1" t="s">
        <v>2</v>
      </c>
      <c r="AA10" s="1" t="s">
        <v>2</v>
      </c>
      <c r="AB10" s="1" t="s">
        <v>2</v>
      </c>
      <c r="AC10" s="1" t="s">
        <v>2</v>
      </c>
      <c r="AD10" s="1" t="s">
        <v>3</v>
      </c>
      <c r="AE10" s="1" t="s">
        <v>2</v>
      </c>
      <c r="AF10" s="1" t="s">
        <v>2</v>
      </c>
      <c r="AG10" s="1" t="s">
        <v>3</v>
      </c>
      <c r="AH10" s="1" t="s">
        <v>3</v>
      </c>
      <c r="AI10" s="1" t="s">
        <v>3</v>
      </c>
      <c r="AJ10" s="1" t="s">
        <v>2</v>
      </c>
      <c r="AK10" s="1" t="s">
        <v>2</v>
      </c>
      <c r="AL10" s="1" t="s">
        <v>2</v>
      </c>
      <c r="AM10" s="1" t="s">
        <v>2</v>
      </c>
      <c r="AN10" s="1" t="s">
        <v>3</v>
      </c>
      <c r="AO10" s="1" t="s">
        <v>2</v>
      </c>
      <c r="AP10" s="1" t="s">
        <v>3</v>
      </c>
      <c r="AQ10" s="1" t="s">
        <v>2</v>
      </c>
      <c r="AR10" s="1" t="s">
        <v>3</v>
      </c>
      <c r="AS10" s="1" t="s">
        <v>2</v>
      </c>
      <c r="AT10" s="1" t="s">
        <v>3</v>
      </c>
      <c r="AU10" s="1" t="s">
        <v>2</v>
      </c>
      <c r="AV10" s="1" t="s">
        <v>2</v>
      </c>
      <c r="AW10" s="1" t="s">
        <v>2</v>
      </c>
      <c r="AX10" s="1" t="s">
        <v>2</v>
      </c>
      <c r="AY10" s="1" t="s">
        <v>2</v>
      </c>
      <c r="AZ10" s="1" t="s">
        <v>2</v>
      </c>
      <c r="BA10">
        <f>IF(V10="YES",1,0)</f>
        <v>1</v>
      </c>
      <c r="BB10">
        <f>IF(AT10="YES",1,0)</f>
        <v>1</v>
      </c>
      <c r="BC10">
        <f>MAX(BA10,BB10)*B10</f>
        <v>18</v>
      </c>
    </row>
    <row r="11" spans="1:55" x14ac:dyDescent="0.35">
      <c r="A11" s="2">
        <v>8</v>
      </c>
      <c r="B11" s="3">
        <f>COUNTIF(C11:AZ11,"YES")</f>
        <v>17</v>
      </c>
      <c r="C11" s="1" t="s">
        <v>2</v>
      </c>
      <c r="D11" s="1" t="s">
        <v>2</v>
      </c>
      <c r="E11" s="1" t="s">
        <v>2</v>
      </c>
      <c r="F11" s="1" t="s">
        <v>2</v>
      </c>
      <c r="G11" s="1" t="s">
        <v>3</v>
      </c>
      <c r="H11" s="1" t="s">
        <v>2</v>
      </c>
      <c r="I11" s="1" t="s">
        <v>2</v>
      </c>
      <c r="J11" s="1" t="s">
        <v>2</v>
      </c>
      <c r="K11" s="1" t="s">
        <v>3</v>
      </c>
      <c r="L11" s="1" t="s">
        <v>3</v>
      </c>
      <c r="M11" s="1" t="s">
        <v>3</v>
      </c>
      <c r="N11" s="1" t="s">
        <v>2</v>
      </c>
      <c r="O11" s="1" t="s">
        <v>3</v>
      </c>
      <c r="P11" s="1" t="s">
        <v>2</v>
      </c>
      <c r="Q11" s="1" t="s">
        <v>2</v>
      </c>
      <c r="R11" s="1" t="s">
        <v>2</v>
      </c>
      <c r="S11" s="1" t="s">
        <v>2</v>
      </c>
      <c r="T11" s="1" t="s">
        <v>3</v>
      </c>
      <c r="U11" s="1" t="s">
        <v>3</v>
      </c>
      <c r="V11" s="1" t="s">
        <v>3</v>
      </c>
      <c r="W11" s="1" t="s">
        <v>2</v>
      </c>
      <c r="X11" s="1" t="s">
        <v>2</v>
      </c>
      <c r="Y11" s="1" t="s">
        <v>3</v>
      </c>
      <c r="Z11" s="1" t="s">
        <v>2</v>
      </c>
      <c r="AA11" s="1" t="s">
        <v>2</v>
      </c>
      <c r="AB11" s="1" t="s">
        <v>2</v>
      </c>
      <c r="AC11" s="1" t="s">
        <v>3</v>
      </c>
      <c r="AD11" s="1" t="s">
        <v>3</v>
      </c>
      <c r="AE11" s="1" t="s">
        <v>2</v>
      </c>
      <c r="AF11" s="1" t="s">
        <v>2</v>
      </c>
      <c r="AG11" s="1" t="s">
        <v>2</v>
      </c>
      <c r="AH11" s="1" t="s">
        <v>2</v>
      </c>
      <c r="AI11" s="1" t="s">
        <v>3</v>
      </c>
      <c r="AJ11" s="1" t="s">
        <v>3</v>
      </c>
      <c r="AK11" s="1" t="s">
        <v>2</v>
      </c>
      <c r="AL11" s="1" t="s">
        <v>2</v>
      </c>
      <c r="AM11" s="1" t="s">
        <v>2</v>
      </c>
      <c r="AN11" s="1" t="s">
        <v>3</v>
      </c>
      <c r="AO11" s="1" t="s">
        <v>2</v>
      </c>
      <c r="AP11" s="1" t="s">
        <v>3</v>
      </c>
      <c r="AQ11" s="1" t="s">
        <v>2</v>
      </c>
      <c r="AR11" s="1" t="s">
        <v>2</v>
      </c>
      <c r="AS11" s="1" t="s">
        <v>2</v>
      </c>
      <c r="AT11" s="1" t="s">
        <v>2</v>
      </c>
      <c r="AU11" s="1" t="s">
        <v>2</v>
      </c>
      <c r="AV11" s="1" t="s">
        <v>2</v>
      </c>
      <c r="AW11" s="1" t="s">
        <v>3</v>
      </c>
      <c r="AX11" s="1" t="s">
        <v>2</v>
      </c>
      <c r="AY11" s="1" t="s">
        <v>2</v>
      </c>
      <c r="AZ11" s="1" t="s">
        <v>3</v>
      </c>
      <c r="BA11">
        <f>IF(V11="YES",1,0)</f>
        <v>1</v>
      </c>
      <c r="BB11">
        <f>IF(AT11="YES",1,0)</f>
        <v>0</v>
      </c>
      <c r="BC11">
        <f>MAX(BA11,BB11)*B11</f>
        <v>17</v>
      </c>
    </row>
    <row r="12" spans="1:55" x14ac:dyDescent="0.35">
      <c r="A12" s="2">
        <v>43</v>
      </c>
      <c r="B12" s="3">
        <f>COUNTIF(C12:AZ12,"YES")</f>
        <v>16</v>
      </c>
      <c r="C12" s="1" t="s">
        <v>3</v>
      </c>
      <c r="D12" s="1" t="s">
        <v>3</v>
      </c>
      <c r="E12" s="1" t="s">
        <v>2</v>
      </c>
      <c r="F12" s="1" t="s">
        <v>2</v>
      </c>
      <c r="G12" s="1" t="s">
        <v>2</v>
      </c>
      <c r="H12" s="1" t="s">
        <v>2</v>
      </c>
      <c r="I12" s="1" t="s">
        <v>3</v>
      </c>
      <c r="J12" s="1" t="s">
        <v>2</v>
      </c>
      <c r="K12" s="1" t="s">
        <v>3</v>
      </c>
      <c r="L12" s="1" t="s">
        <v>2</v>
      </c>
      <c r="M12" s="1" t="s">
        <v>3</v>
      </c>
      <c r="N12" s="1" t="s">
        <v>2</v>
      </c>
      <c r="O12" s="1" t="s">
        <v>3</v>
      </c>
      <c r="P12" s="1" t="s">
        <v>2</v>
      </c>
      <c r="Q12" s="1" t="s">
        <v>3</v>
      </c>
      <c r="R12" s="1" t="s">
        <v>2</v>
      </c>
      <c r="S12" s="1" t="s">
        <v>2</v>
      </c>
      <c r="T12" s="1" t="s">
        <v>2</v>
      </c>
      <c r="U12" s="1" t="s">
        <v>2</v>
      </c>
      <c r="V12" s="1" t="s">
        <v>3</v>
      </c>
      <c r="W12" s="1" t="s">
        <v>3</v>
      </c>
      <c r="X12" s="1" t="s">
        <v>2</v>
      </c>
      <c r="Y12" s="1" t="s">
        <v>2</v>
      </c>
      <c r="Z12" s="1" t="s">
        <v>2</v>
      </c>
      <c r="AA12" s="1" t="s">
        <v>3</v>
      </c>
      <c r="AB12" s="1" t="s">
        <v>2</v>
      </c>
      <c r="AC12" s="1" t="s">
        <v>2</v>
      </c>
      <c r="AD12" s="1" t="s">
        <v>2</v>
      </c>
      <c r="AE12" s="1" t="s">
        <v>2</v>
      </c>
      <c r="AF12" s="1" t="s">
        <v>2</v>
      </c>
      <c r="AG12" s="1" t="s">
        <v>2</v>
      </c>
      <c r="AH12" s="1" t="s">
        <v>3</v>
      </c>
      <c r="AI12" s="1" t="s">
        <v>2</v>
      </c>
      <c r="AJ12" s="1" t="s">
        <v>2</v>
      </c>
      <c r="AK12" s="1" t="s">
        <v>3</v>
      </c>
      <c r="AL12" s="1" t="s">
        <v>3</v>
      </c>
      <c r="AM12" s="1" t="s">
        <v>2</v>
      </c>
      <c r="AN12" s="1" t="s">
        <v>2</v>
      </c>
      <c r="AO12" s="1" t="s">
        <v>2</v>
      </c>
      <c r="AP12" s="1" t="s">
        <v>2</v>
      </c>
      <c r="AQ12" s="1" t="s">
        <v>2</v>
      </c>
      <c r="AR12" s="1" t="s">
        <v>3</v>
      </c>
      <c r="AS12" s="1" t="s">
        <v>3</v>
      </c>
      <c r="AT12" s="1" t="s">
        <v>3</v>
      </c>
      <c r="AU12" s="1" t="s">
        <v>2</v>
      </c>
      <c r="AV12" s="1" t="s">
        <v>2</v>
      </c>
      <c r="AW12" s="1" t="s">
        <v>2</v>
      </c>
      <c r="AX12" s="1" t="s">
        <v>2</v>
      </c>
      <c r="AY12" s="1" t="s">
        <v>2</v>
      </c>
      <c r="AZ12" s="1" t="s">
        <v>2</v>
      </c>
      <c r="BA12">
        <f>IF(V12="YES",1,0)</f>
        <v>1</v>
      </c>
      <c r="BB12">
        <f>IF(AT12="YES",1,0)</f>
        <v>1</v>
      </c>
      <c r="BC12">
        <f>MAX(BA12,BB12)*B12</f>
        <v>16</v>
      </c>
    </row>
    <row r="13" spans="1:55" x14ac:dyDescent="0.35">
      <c r="A13" s="2">
        <v>40</v>
      </c>
      <c r="B13" s="3">
        <f>COUNTIF(C13:AZ13,"YES")</f>
        <v>16</v>
      </c>
      <c r="C13" s="1" t="s">
        <v>2</v>
      </c>
      <c r="D13" s="1" t="s">
        <v>3</v>
      </c>
      <c r="E13" s="1" t="s">
        <v>2</v>
      </c>
      <c r="F13" s="1" t="s">
        <v>2</v>
      </c>
      <c r="G13" s="1" t="s">
        <v>2</v>
      </c>
      <c r="H13" s="1" t="s">
        <v>3</v>
      </c>
      <c r="I13" s="1" t="s">
        <v>2</v>
      </c>
      <c r="J13" s="1" t="s">
        <v>2</v>
      </c>
      <c r="K13" s="1" t="s">
        <v>3</v>
      </c>
      <c r="L13" s="1" t="s">
        <v>2</v>
      </c>
      <c r="M13" s="1" t="s">
        <v>3</v>
      </c>
      <c r="N13" s="1" t="s">
        <v>2</v>
      </c>
      <c r="O13" s="1" t="s">
        <v>3</v>
      </c>
      <c r="P13" s="1" t="s">
        <v>2</v>
      </c>
      <c r="Q13" s="1" t="s">
        <v>3</v>
      </c>
      <c r="R13" s="1" t="s">
        <v>2</v>
      </c>
      <c r="S13" s="1" t="s">
        <v>2</v>
      </c>
      <c r="T13" s="1" t="s">
        <v>3</v>
      </c>
      <c r="U13" s="1" t="s">
        <v>2</v>
      </c>
      <c r="V13" s="1" t="s">
        <v>3</v>
      </c>
      <c r="W13" s="1" t="s">
        <v>2</v>
      </c>
      <c r="X13" s="1" t="s">
        <v>2</v>
      </c>
      <c r="Y13" s="1" t="s">
        <v>2</v>
      </c>
      <c r="Z13" s="1" t="s">
        <v>2</v>
      </c>
      <c r="AA13" s="1" t="s">
        <v>2</v>
      </c>
      <c r="AB13" s="1" t="s">
        <v>2</v>
      </c>
      <c r="AC13" s="1" t="s">
        <v>2</v>
      </c>
      <c r="AD13" s="1" t="s">
        <v>3</v>
      </c>
      <c r="AE13" s="1" t="s">
        <v>2</v>
      </c>
      <c r="AF13" s="1" t="s">
        <v>2</v>
      </c>
      <c r="AG13" s="1" t="s">
        <v>3</v>
      </c>
      <c r="AH13" s="1" t="s">
        <v>3</v>
      </c>
      <c r="AI13" s="1" t="s">
        <v>3</v>
      </c>
      <c r="AJ13" s="1" t="s">
        <v>2</v>
      </c>
      <c r="AK13" s="1" t="s">
        <v>2</v>
      </c>
      <c r="AL13" s="1" t="s">
        <v>3</v>
      </c>
      <c r="AM13" s="1" t="s">
        <v>2</v>
      </c>
      <c r="AN13" s="1" t="s">
        <v>2</v>
      </c>
      <c r="AO13" s="1" t="s">
        <v>2</v>
      </c>
      <c r="AP13" s="1" t="s">
        <v>2</v>
      </c>
      <c r="AQ13" s="1" t="s">
        <v>2</v>
      </c>
      <c r="AR13" s="1" t="s">
        <v>3</v>
      </c>
      <c r="AS13" s="1" t="s">
        <v>2</v>
      </c>
      <c r="AT13" s="1" t="s">
        <v>3</v>
      </c>
      <c r="AU13" s="1" t="s">
        <v>2</v>
      </c>
      <c r="AV13" s="1" t="s">
        <v>2</v>
      </c>
      <c r="AW13" s="1" t="s">
        <v>2</v>
      </c>
      <c r="AX13" s="1" t="s">
        <v>3</v>
      </c>
      <c r="AY13" s="1" t="s">
        <v>2</v>
      </c>
      <c r="AZ13" s="1" t="s">
        <v>2</v>
      </c>
      <c r="BA13">
        <f>IF(V13="YES",1,0)</f>
        <v>1</v>
      </c>
      <c r="BB13">
        <f>IF(AT13="YES",1,0)</f>
        <v>1</v>
      </c>
      <c r="BC13">
        <f>MAX(BA13,BB13)*B13</f>
        <v>16</v>
      </c>
    </row>
    <row r="14" spans="1:55" x14ac:dyDescent="0.35">
      <c r="A14" s="2">
        <v>89</v>
      </c>
      <c r="B14" s="3">
        <f>COUNTIF(C14:AZ14,"YES")</f>
        <v>16</v>
      </c>
      <c r="C14" s="1" t="s">
        <v>3</v>
      </c>
      <c r="D14" s="1" t="s">
        <v>2</v>
      </c>
      <c r="E14" s="1" t="s">
        <v>2</v>
      </c>
      <c r="F14" s="1" t="s">
        <v>2</v>
      </c>
      <c r="G14" s="1" t="s">
        <v>2</v>
      </c>
      <c r="H14" s="1" t="s">
        <v>2</v>
      </c>
      <c r="I14" s="1" t="s">
        <v>3</v>
      </c>
      <c r="J14" s="1" t="s">
        <v>2</v>
      </c>
      <c r="K14" s="1" t="s">
        <v>3</v>
      </c>
      <c r="L14" s="1" t="s">
        <v>2</v>
      </c>
      <c r="M14" s="1" t="s">
        <v>3</v>
      </c>
      <c r="N14" s="1" t="s">
        <v>3</v>
      </c>
      <c r="O14" s="1" t="s">
        <v>3</v>
      </c>
      <c r="P14" s="1" t="s">
        <v>2</v>
      </c>
      <c r="Q14" s="1" t="s">
        <v>3</v>
      </c>
      <c r="R14" s="1" t="s">
        <v>2</v>
      </c>
      <c r="S14" s="1" t="s">
        <v>2</v>
      </c>
      <c r="T14" s="1" t="s">
        <v>3</v>
      </c>
      <c r="U14" s="1" t="s">
        <v>2</v>
      </c>
      <c r="V14" s="1" t="s">
        <v>3</v>
      </c>
      <c r="W14" s="1" t="s">
        <v>3</v>
      </c>
      <c r="X14" s="1" t="s">
        <v>2</v>
      </c>
      <c r="Y14" s="1" t="s">
        <v>2</v>
      </c>
      <c r="Z14" s="1" t="s">
        <v>2</v>
      </c>
      <c r="AA14" s="1" t="s">
        <v>2</v>
      </c>
      <c r="AB14" s="1" t="s">
        <v>2</v>
      </c>
      <c r="AC14" s="1" t="s">
        <v>2</v>
      </c>
      <c r="AD14" s="1" t="s">
        <v>3</v>
      </c>
      <c r="AE14" s="1" t="s">
        <v>2</v>
      </c>
      <c r="AF14" s="1" t="s">
        <v>2</v>
      </c>
      <c r="AG14" s="1" t="s">
        <v>2</v>
      </c>
      <c r="AH14" s="1" t="s">
        <v>3</v>
      </c>
      <c r="AI14" s="1" t="s">
        <v>3</v>
      </c>
      <c r="AJ14" s="1" t="s">
        <v>2</v>
      </c>
      <c r="AK14" s="1" t="s">
        <v>2</v>
      </c>
      <c r="AL14" s="1" t="s">
        <v>2</v>
      </c>
      <c r="AM14" s="1" t="s">
        <v>2</v>
      </c>
      <c r="AN14" s="1" t="s">
        <v>3</v>
      </c>
      <c r="AO14" s="1" t="s">
        <v>2</v>
      </c>
      <c r="AP14" s="1" t="s">
        <v>3</v>
      </c>
      <c r="AQ14" s="1" t="s">
        <v>2</v>
      </c>
      <c r="AR14" s="1" t="s">
        <v>2</v>
      </c>
      <c r="AS14" s="1" t="s">
        <v>2</v>
      </c>
      <c r="AT14" s="1" t="s">
        <v>2</v>
      </c>
      <c r="AU14" s="1" t="s">
        <v>2</v>
      </c>
      <c r="AV14" s="1" t="s">
        <v>2</v>
      </c>
      <c r="AW14" s="1" t="s">
        <v>3</v>
      </c>
      <c r="AX14" s="1" t="s">
        <v>2</v>
      </c>
      <c r="AY14" s="1" t="s">
        <v>2</v>
      </c>
      <c r="AZ14" s="1" t="s">
        <v>2</v>
      </c>
      <c r="BA14">
        <f>IF(V14="YES",1,0)</f>
        <v>1</v>
      </c>
      <c r="BB14">
        <f>IF(AT14="YES",1,0)</f>
        <v>0</v>
      </c>
      <c r="BC14">
        <f>MAX(BA14,BB14)*B14</f>
        <v>16</v>
      </c>
    </row>
    <row r="15" spans="1:55" x14ac:dyDescent="0.35">
      <c r="A15" s="2">
        <v>55</v>
      </c>
      <c r="B15" s="3">
        <f>COUNTIF(C15:AZ15,"YES")</f>
        <v>15</v>
      </c>
      <c r="C15" s="1" t="s">
        <v>2</v>
      </c>
      <c r="D15" s="1" t="s">
        <v>2</v>
      </c>
      <c r="E15" s="1" t="s">
        <v>3</v>
      </c>
      <c r="F15" s="1" t="s">
        <v>2</v>
      </c>
      <c r="G15" s="1" t="s">
        <v>2</v>
      </c>
      <c r="H15" s="1" t="s">
        <v>2</v>
      </c>
      <c r="I15" s="1" t="s">
        <v>2</v>
      </c>
      <c r="J15" s="1" t="s">
        <v>2</v>
      </c>
      <c r="K15" s="1" t="s">
        <v>3</v>
      </c>
      <c r="L15" s="1" t="s">
        <v>3</v>
      </c>
      <c r="M15" s="1" t="s">
        <v>3</v>
      </c>
      <c r="N15" s="1" t="s">
        <v>2</v>
      </c>
      <c r="O15" s="1" t="s">
        <v>3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3</v>
      </c>
      <c r="U15" s="1" t="s">
        <v>2</v>
      </c>
      <c r="V15" s="1" t="s">
        <v>3</v>
      </c>
      <c r="W15" s="1" t="s">
        <v>2</v>
      </c>
      <c r="X15" s="1" t="s">
        <v>2</v>
      </c>
      <c r="Y15" s="1" t="s">
        <v>3</v>
      </c>
      <c r="Z15" s="1" t="s">
        <v>2</v>
      </c>
      <c r="AA15" s="1" t="s">
        <v>2</v>
      </c>
      <c r="AB15" s="1" t="s">
        <v>2</v>
      </c>
      <c r="AC15" s="1" t="s">
        <v>3</v>
      </c>
      <c r="AD15" s="1" t="s">
        <v>3</v>
      </c>
      <c r="AE15" s="1" t="s">
        <v>2</v>
      </c>
      <c r="AF15" s="1" t="s">
        <v>2</v>
      </c>
      <c r="AG15" s="1" t="s">
        <v>2</v>
      </c>
      <c r="AH15" s="1" t="s">
        <v>2</v>
      </c>
      <c r="AI15" s="1" t="s">
        <v>3</v>
      </c>
      <c r="AJ15" s="1" t="s">
        <v>2</v>
      </c>
      <c r="AK15" s="1" t="s">
        <v>2</v>
      </c>
      <c r="AL15" s="1" t="s">
        <v>2</v>
      </c>
      <c r="AM15" s="1" t="s">
        <v>2</v>
      </c>
      <c r="AN15" s="1" t="s">
        <v>3</v>
      </c>
      <c r="AO15" s="1" t="s">
        <v>2</v>
      </c>
      <c r="AP15" s="1" t="s">
        <v>3</v>
      </c>
      <c r="AQ15" s="1" t="s">
        <v>2</v>
      </c>
      <c r="AR15" s="1" t="s">
        <v>2</v>
      </c>
      <c r="AS15" s="1" t="s">
        <v>2</v>
      </c>
      <c r="AT15" s="1" t="s">
        <v>2</v>
      </c>
      <c r="AU15" s="1" t="s">
        <v>2</v>
      </c>
      <c r="AV15" s="1" t="s">
        <v>2</v>
      </c>
      <c r="AW15" s="1" t="s">
        <v>3</v>
      </c>
      <c r="AX15" s="1" t="s">
        <v>2</v>
      </c>
      <c r="AY15" s="1" t="s">
        <v>2</v>
      </c>
      <c r="AZ15" s="1" t="s">
        <v>3</v>
      </c>
      <c r="BA15">
        <f>IF(V15="YES",1,0)</f>
        <v>1</v>
      </c>
      <c r="BB15">
        <f>IF(AT15="YES",1,0)</f>
        <v>0</v>
      </c>
      <c r="BC15">
        <f>MAX(BA15,BB15)*B15</f>
        <v>15</v>
      </c>
    </row>
    <row r="16" spans="1:55" x14ac:dyDescent="0.35">
      <c r="A16" s="2">
        <v>51</v>
      </c>
      <c r="B16" s="3">
        <f>COUNTIF(C16:AZ16,"YES")</f>
        <v>15</v>
      </c>
      <c r="C16" s="1" t="s">
        <v>2</v>
      </c>
      <c r="D16" s="1" t="s">
        <v>2</v>
      </c>
      <c r="E16" s="1" t="s">
        <v>2</v>
      </c>
      <c r="F16" s="1" t="s">
        <v>2</v>
      </c>
      <c r="G16" s="1" t="s">
        <v>2</v>
      </c>
      <c r="H16" s="1" t="s">
        <v>2</v>
      </c>
      <c r="I16" s="1" t="s">
        <v>3</v>
      </c>
      <c r="J16" s="1" t="s">
        <v>2</v>
      </c>
      <c r="K16" s="1" t="s">
        <v>3</v>
      </c>
      <c r="L16" s="1" t="s">
        <v>2</v>
      </c>
      <c r="M16" s="1" t="s">
        <v>2</v>
      </c>
      <c r="N16" s="1" t="s">
        <v>2</v>
      </c>
      <c r="O16" s="1" t="s">
        <v>3</v>
      </c>
      <c r="P16" s="1" t="s">
        <v>3</v>
      </c>
      <c r="Q16" s="1" t="s">
        <v>2</v>
      </c>
      <c r="R16" s="1" t="s">
        <v>3</v>
      </c>
      <c r="S16" s="1" t="s">
        <v>3</v>
      </c>
      <c r="T16" s="1" t="s">
        <v>3</v>
      </c>
      <c r="U16" s="1" t="s">
        <v>2</v>
      </c>
      <c r="V16" s="1" t="s">
        <v>2</v>
      </c>
      <c r="W16" s="1" t="s">
        <v>2</v>
      </c>
      <c r="X16" s="1" t="s">
        <v>2</v>
      </c>
      <c r="Y16" s="1" t="s">
        <v>2</v>
      </c>
      <c r="Z16" s="1" t="s">
        <v>2</v>
      </c>
      <c r="AA16" s="1" t="s">
        <v>2</v>
      </c>
      <c r="AB16" s="1" t="s">
        <v>2</v>
      </c>
      <c r="AC16" s="1" t="s">
        <v>2</v>
      </c>
      <c r="AD16" s="1" t="s">
        <v>3</v>
      </c>
      <c r="AE16" s="1" t="s">
        <v>2</v>
      </c>
      <c r="AF16" s="1" t="s">
        <v>2</v>
      </c>
      <c r="AG16" s="1" t="s">
        <v>2</v>
      </c>
      <c r="AH16" s="1" t="s">
        <v>2</v>
      </c>
      <c r="AI16" s="1" t="s">
        <v>3</v>
      </c>
      <c r="AJ16" s="1" t="s">
        <v>2</v>
      </c>
      <c r="AK16" s="1" t="s">
        <v>2</v>
      </c>
      <c r="AL16" s="1" t="s">
        <v>3</v>
      </c>
      <c r="AM16" s="1" t="s">
        <v>2</v>
      </c>
      <c r="AN16" s="1" t="s">
        <v>3</v>
      </c>
      <c r="AO16" s="1" t="s">
        <v>2</v>
      </c>
      <c r="AP16" s="1" t="s">
        <v>2</v>
      </c>
      <c r="AQ16" s="1" t="s">
        <v>2</v>
      </c>
      <c r="AR16" s="1" t="s">
        <v>3</v>
      </c>
      <c r="AS16" s="1" t="s">
        <v>2</v>
      </c>
      <c r="AT16" s="1" t="s">
        <v>3</v>
      </c>
      <c r="AU16" s="1" t="s">
        <v>2</v>
      </c>
      <c r="AV16" s="1" t="s">
        <v>3</v>
      </c>
      <c r="AW16" s="1" t="s">
        <v>2</v>
      </c>
      <c r="AX16" s="1" t="s">
        <v>3</v>
      </c>
      <c r="AY16" s="1" t="s">
        <v>2</v>
      </c>
      <c r="AZ16" s="1" t="s">
        <v>2</v>
      </c>
      <c r="BA16">
        <f>IF(V16="YES",1,0)</f>
        <v>0</v>
      </c>
      <c r="BB16">
        <f>IF(AT16="YES",1,0)</f>
        <v>1</v>
      </c>
      <c r="BC16">
        <f>MAX(BA16,BB16)*B16</f>
        <v>15</v>
      </c>
    </row>
    <row r="17" spans="1:55" x14ac:dyDescent="0.35">
      <c r="A17" s="2">
        <v>88</v>
      </c>
      <c r="B17" s="3">
        <f>COUNTIF(C17:AZ17,"YES")</f>
        <v>14</v>
      </c>
      <c r="C17" s="1" t="s">
        <v>3</v>
      </c>
      <c r="D17" s="1" t="s">
        <v>2</v>
      </c>
      <c r="E17" s="1" t="s">
        <v>2</v>
      </c>
      <c r="F17" s="1" t="s">
        <v>2</v>
      </c>
      <c r="G17" s="1" t="s">
        <v>2</v>
      </c>
      <c r="H17" s="1" t="s">
        <v>2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2</v>
      </c>
      <c r="U17" s="1" t="s">
        <v>2</v>
      </c>
      <c r="V17" s="1" t="s">
        <v>2</v>
      </c>
      <c r="W17" s="1" t="s">
        <v>2</v>
      </c>
      <c r="X17" s="1" t="s">
        <v>3</v>
      </c>
      <c r="Y17" s="1" t="s">
        <v>2</v>
      </c>
      <c r="Z17" s="1" t="s">
        <v>3</v>
      </c>
      <c r="AA17" s="1" t="s">
        <v>3</v>
      </c>
      <c r="AB17" s="1" t="s">
        <v>2</v>
      </c>
      <c r="AC17" s="1" t="s">
        <v>3</v>
      </c>
      <c r="AD17" s="1" t="s">
        <v>2</v>
      </c>
      <c r="AE17" s="1" t="s">
        <v>3</v>
      </c>
      <c r="AF17" s="1" t="s">
        <v>2</v>
      </c>
      <c r="AG17" s="1" t="s">
        <v>2</v>
      </c>
      <c r="AH17" s="1" t="s">
        <v>2</v>
      </c>
      <c r="AI17" s="1" t="s">
        <v>2</v>
      </c>
      <c r="AJ17" s="1" t="s">
        <v>2</v>
      </c>
      <c r="AK17" s="1" t="s">
        <v>3</v>
      </c>
      <c r="AL17" s="1" t="s">
        <v>3</v>
      </c>
      <c r="AM17" s="1" t="s">
        <v>2</v>
      </c>
      <c r="AN17" s="1" t="s">
        <v>2</v>
      </c>
      <c r="AO17" s="1" t="s">
        <v>3</v>
      </c>
      <c r="AP17" s="1" t="s">
        <v>2</v>
      </c>
      <c r="AQ17" s="1" t="s">
        <v>2</v>
      </c>
      <c r="AR17" s="1" t="s">
        <v>3</v>
      </c>
      <c r="AS17" s="1" t="s">
        <v>3</v>
      </c>
      <c r="AT17" s="1" t="s">
        <v>3</v>
      </c>
      <c r="AU17" s="1" t="s">
        <v>2</v>
      </c>
      <c r="AV17" s="1" t="s">
        <v>2</v>
      </c>
      <c r="AW17" s="1" t="s">
        <v>2</v>
      </c>
      <c r="AX17" s="1" t="s">
        <v>2</v>
      </c>
      <c r="AY17" s="1" t="s">
        <v>3</v>
      </c>
      <c r="AZ17" s="1" t="s">
        <v>3</v>
      </c>
      <c r="BA17">
        <f>IF(V17="YES",1,0)</f>
        <v>0</v>
      </c>
      <c r="BB17">
        <f>IF(AT17="YES",1,0)</f>
        <v>1</v>
      </c>
      <c r="BC17">
        <f>MAX(BA17,BB17)*B17</f>
        <v>14</v>
      </c>
    </row>
    <row r="18" spans="1:55" x14ac:dyDescent="0.35">
      <c r="A18" s="2">
        <v>46</v>
      </c>
      <c r="B18" s="3">
        <f>COUNTIF(C18:AZ18,"YES")</f>
        <v>13</v>
      </c>
      <c r="C18" s="1" t="s">
        <v>2</v>
      </c>
      <c r="D18" s="1" t="s">
        <v>2</v>
      </c>
      <c r="E18" s="1" t="s">
        <v>2</v>
      </c>
      <c r="F18" s="1" t="s">
        <v>2</v>
      </c>
      <c r="G18" s="1" t="s">
        <v>2</v>
      </c>
      <c r="H18" s="1" t="s">
        <v>3</v>
      </c>
      <c r="I18" s="1" t="s">
        <v>2</v>
      </c>
      <c r="J18" s="1" t="s">
        <v>2</v>
      </c>
      <c r="K18" s="1" t="s">
        <v>3</v>
      </c>
      <c r="L18" s="1" t="s">
        <v>2</v>
      </c>
      <c r="M18" s="1" t="s">
        <v>3</v>
      </c>
      <c r="N18" s="1" t="s">
        <v>2</v>
      </c>
      <c r="O18" s="1" t="s">
        <v>3</v>
      </c>
      <c r="P18" s="1" t="s">
        <v>2</v>
      </c>
      <c r="Q18" s="1" t="s">
        <v>2</v>
      </c>
      <c r="R18" s="1" t="s">
        <v>3</v>
      </c>
      <c r="S18" s="1" t="s">
        <v>2</v>
      </c>
      <c r="T18" s="1" t="s">
        <v>3</v>
      </c>
      <c r="U18" s="1" t="s">
        <v>2</v>
      </c>
      <c r="V18" s="1" t="s">
        <v>3</v>
      </c>
      <c r="W18" s="1" t="s">
        <v>2</v>
      </c>
      <c r="X18" s="1" t="s">
        <v>2</v>
      </c>
      <c r="Y18" s="1" t="s">
        <v>2</v>
      </c>
      <c r="Z18" s="1" t="s">
        <v>2</v>
      </c>
      <c r="AA18" s="1" t="s">
        <v>2</v>
      </c>
      <c r="AB18" s="1" t="s">
        <v>2</v>
      </c>
      <c r="AC18" s="1" t="s">
        <v>2</v>
      </c>
      <c r="AD18" s="1" t="s">
        <v>3</v>
      </c>
      <c r="AE18" s="1" t="s">
        <v>2</v>
      </c>
      <c r="AF18" s="1" t="s">
        <v>2</v>
      </c>
      <c r="AG18" s="1" t="s">
        <v>2</v>
      </c>
      <c r="AH18" s="1" t="s">
        <v>2</v>
      </c>
      <c r="AI18" s="1" t="s">
        <v>3</v>
      </c>
      <c r="AJ18" s="1" t="s">
        <v>2</v>
      </c>
      <c r="AK18" s="1" t="s">
        <v>2</v>
      </c>
      <c r="AL18" s="1" t="s">
        <v>3</v>
      </c>
      <c r="AM18" s="1" t="s">
        <v>2</v>
      </c>
      <c r="AN18" s="1" t="s">
        <v>2</v>
      </c>
      <c r="AO18" s="1" t="s">
        <v>2</v>
      </c>
      <c r="AP18" s="1" t="s">
        <v>2</v>
      </c>
      <c r="AQ18" s="1" t="s">
        <v>2</v>
      </c>
      <c r="AR18" s="1" t="s">
        <v>3</v>
      </c>
      <c r="AS18" s="1" t="s">
        <v>2</v>
      </c>
      <c r="AT18" s="1" t="s">
        <v>2</v>
      </c>
      <c r="AU18" s="1" t="s">
        <v>2</v>
      </c>
      <c r="AV18" s="1" t="s">
        <v>3</v>
      </c>
      <c r="AW18" s="1" t="s">
        <v>2</v>
      </c>
      <c r="AX18" s="1" t="s">
        <v>3</v>
      </c>
      <c r="AY18" s="1" t="s">
        <v>2</v>
      </c>
      <c r="AZ18" s="1" t="s">
        <v>2</v>
      </c>
      <c r="BA18">
        <f>IF(V18="YES",1,0)</f>
        <v>1</v>
      </c>
      <c r="BB18">
        <f>IF(AT18="YES",1,0)</f>
        <v>0</v>
      </c>
      <c r="BC18">
        <f>MAX(BA18,BB18)*B18</f>
        <v>13</v>
      </c>
    </row>
    <row r="19" spans="1:55" x14ac:dyDescent="0.35">
      <c r="A19" s="2">
        <v>27</v>
      </c>
      <c r="B19" s="3">
        <f>COUNTIF(C19:AZ19,"YES")</f>
        <v>13</v>
      </c>
      <c r="C19" s="1" t="s">
        <v>2</v>
      </c>
      <c r="D19" s="1" t="s">
        <v>2</v>
      </c>
      <c r="E19" s="1" t="s">
        <v>2</v>
      </c>
      <c r="F19" s="1" t="s">
        <v>2</v>
      </c>
      <c r="G19" s="1" t="s">
        <v>2</v>
      </c>
      <c r="H19" s="1" t="s">
        <v>3</v>
      </c>
      <c r="I19" s="1" t="s">
        <v>3</v>
      </c>
      <c r="J19" s="1" t="s">
        <v>2</v>
      </c>
      <c r="K19" s="1" t="s">
        <v>3</v>
      </c>
      <c r="L19" s="1" t="s">
        <v>2</v>
      </c>
      <c r="M19" s="1" t="s">
        <v>2</v>
      </c>
      <c r="N19" s="1" t="s">
        <v>2</v>
      </c>
      <c r="O19" s="1" t="s">
        <v>3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3</v>
      </c>
      <c r="U19" s="1" t="s">
        <v>2</v>
      </c>
      <c r="V19" s="1" t="s">
        <v>3</v>
      </c>
      <c r="W19" s="1" t="s">
        <v>2</v>
      </c>
      <c r="X19" s="1" t="s">
        <v>2</v>
      </c>
      <c r="Y19" s="1" t="s">
        <v>2</v>
      </c>
      <c r="Z19" s="1" t="s">
        <v>2</v>
      </c>
      <c r="AA19" s="1" t="s">
        <v>2</v>
      </c>
      <c r="AB19" s="1" t="s">
        <v>2</v>
      </c>
      <c r="AC19" s="1" t="s">
        <v>2</v>
      </c>
      <c r="AD19" s="1" t="s">
        <v>3</v>
      </c>
      <c r="AE19" s="1" t="s">
        <v>2</v>
      </c>
      <c r="AF19" s="1" t="s">
        <v>2</v>
      </c>
      <c r="AG19" s="1" t="s">
        <v>3</v>
      </c>
      <c r="AH19" s="1" t="s">
        <v>2</v>
      </c>
      <c r="AI19" s="1" t="s">
        <v>3</v>
      </c>
      <c r="AJ19" s="1" t="s">
        <v>2</v>
      </c>
      <c r="AK19" s="1" t="s">
        <v>2</v>
      </c>
      <c r="AL19" s="1" t="s">
        <v>2</v>
      </c>
      <c r="AM19" s="1" t="s">
        <v>2</v>
      </c>
      <c r="AN19" s="1" t="s">
        <v>3</v>
      </c>
      <c r="AO19" s="1" t="s">
        <v>2</v>
      </c>
      <c r="AP19" s="1" t="s">
        <v>3</v>
      </c>
      <c r="AQ19" s="1" t="s">
        <v>2</v>
      </c>
      <c r="AR19" s="1" t="s">
        <v>3</v>
      </c>
      <c r="AS19" s="1" t="s">
        <v>2</v>
      </c>
      <c r="AT19" s="1" t="s">
        <v>3</v>
      </c>
      <c r="AU19" s="1" t="s">
        <v>2</v>
      </c>
      <c r="AV19" s="1" t="s">
        <v>2</v>
      </c>
      <c r="AW19" s="1" t="s">
        <v>2</v>
      </c>
      <c r="AX19" s="1" t="s">
        <v>2</v>
      </c>
      <c r="AY19" s="1" t="s">
        <v>2</v>
      </c>
      <c r="AZ19" s="1" t="s">
        <v>2</v>
      </c>
      <c r="BA19">
        <f>IF(V19="YES",1,0)</f>
        <v>1</v>
      </c>
      <c r="BB19">
        <f>IF(AT19="YES",1,0)</f>
        <v>1</v>
      </c>
      <c r="BC19">
        <f>MAX(BA19,BB19)*B19</f>
        <v>13</v>
      </c>
    </row>
    <row r="20" spans="1:55" x14ac:dyDescent="0.35">
      <c r="A20" s="2">
        <v>23</v>
      </c>
      <c r="B20" s="3">
        <f>COUNTIF(C20:AZ20,"YES")</f>
        <v>13</v>
      </c>
      <c r="C20" s="1" t="s">
        <v>3</v>
      </c>
      <c r="D20" s="1" t="s">
        <v>2</v>
      </c>
      <c r="E20" s="1" t="s">
        <v>3</v>
      </c>
      <c r="F20" s="1" t="s">
        <v>2</v>
      </c>
      <c r="G20" s="1" t="s">
        <v>2</v>
      </c>
      <c r="H20" s="1" t="s">
        <v>2</v>
      </c>
      <c r="I20" s="1" t="s">
        <v>2</v>
      </c>
      <c r="J20" s="1" t="s">
        <v>2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2</v>
      </c>
      <c r="U20" s="1" t="s">
        <v>2</v>
      </c>
      <c r="V20" s="1" t="s">
        <v>2</v>
      </c>
      <c r="W20" s="1" t="s">
        <v>3</v>
      </c>
      <c r="X20" s="1" t="s">
        <v>3</v>
      </c>
      <c r="Y20" s="1" t="s">
        <v>2</v>
      </c>
      <c r="Z20" s="1" t="s">
        <v>3</v>
      </c>
      <c r="AA20" s="1" t="s">
        <v>2</v>
      </c>
      <c r="AB20" s="1" t="s">
        <v>2</v>
      </c>
      <c r="AC20" s="1" t="s">
        <v>3</v>
      </c>
      <c r="AD20" s="1" t="s">
        <v>2</v>
      </c>
      <c r="AE20" s="1" t="s">
        <v>3</v>
      </c>
      <c r="AF20" s="1" t="s">
        <v>2</v>
      </c>
      <c r="AG20" s="1" t="s">
        <v>2</v>
      </c>
      <c r="AH20" s="1" t="s">
        <v>2</v>
      </c>
      <c r="AI20" s="1" t="s">
        <v>2</v>
      </c>
      <c r="AJ20" s="1" t="s">
        <v>2</v>
      </c>
      <c r="AK20" s="1" t="s">
        <v>2</v>
      </c>
      <c r="AL20" s="1" t="s">
        <v>3</v>
      </c>
      <c r="AM20" s="1" t="s">
        <v>2</v>
      </c>
      <c r="AN20" s="1" t="s">
        <v>2</v>
      </c>
      <c r="AO20" s="1" t="s">
        <v>3</v>
      </c>
      <c r="AP20" s="1" t="s">
        <v>2</v>
      </c>
      <c r="AQ20" s="1" t="s">
        <v>3</v>
      </c>
      <c r="AR20" s="1" t="s">
        <v>2</v>
      </c>
      <c r="AS20" s="1" t="s">
        <v>2</v>
      </c>
      <c r="AT20" s="1" t="s">
        <v>3</v>
      </c>
      <c r="AU20" s="1" t="s">
        <v>2</v>
      </c>
      <c r="AV20" s="1" t="s">
        <v>2</v>
      </c>
      <c r="AW20" s="1" t="s">
        <v>2</v>
      </c>
      <c r="AX20" s="1" t="s">
        <v>2</v>
      </c>
      <c r="AY20" s="1" t="s">
        <v>3</v>
      </c>
      <c r="AZ20" s="1" t="s">
        <v>3</v>
      </c>
      <c r="BA20">
        <f>IF(V20="YES",1,0)</f>
        <v>0</v>
      </c>
      <c r="BB20">
        <f>IF(AT20="YES",1,0)</f>
        <v>1</v>
      </c>
      <c r="BC20">
        <f>MAX(BA20,BB20)*B20</f>
        <v>13</v>
      </c>
    </row>
    <row r="21" spans="1:55" x14ac:dyDescent="0.35">
      <c r="A21" s="2">
        <v>42</v>
      </c>
      <c r="B21" s="3">
        <f>COUNTIF(C21:AZ21,"YES")</f>
        <v>13</v>
      </c>
      <c r="C21" s="1" t="s">
        <v>2</v>
      </c>
      <c r="D21" s="1" t="s">
        <v>2</v>
      </c>
      <c r="E21" s="1" t="s">
        <v>3</v>
      </c>
      <c r="F21" s="1" t="s">
        <v>2</v>
      </c>
      <c r="G21" s="1" t="s">
        <v>2</v>
      </c>
      <c r="H21" s="1" t="s">
        <v>2</v>
      </c>
      <c r="I21" s="1" t="s">
        <v>2</v>
      </c>
      <c r="J21" s="1" t="s">
        <v>2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2</v>
      </c>
      <c r="U21" s="1" t="s">
        <v>2</v>
      </c>
      <c r="V21" s="1" t="s">
        <v>2</v>
      </c>
      <c r="W21" s="1" t="s">
        <v>2</v>
      </c>
      <c r="X21" s="1" t="s">
        <v>3</v>
      </c>
      <c r="Y21" s="1" t="s">
        <v>2</v>
      </c>
      <c r="Z21" s="1" t="s">
        <v>3</v>
      </c>
      <c r="AA21" s="1" t="s">
        <v>2</v>
      </c>
      <c r="AB21" s="1" t="s">
        <v>2</v>
      </c>
      <c r="AC21" s="1" t="s">
        <v>3</v>
      </c>
      <c r="AD21" s="1" t="s">
        <v>2</v>
      </c>
      <c r="AE21" s="1" t="s">
        <v>3</v>
      </c>
      <c r="AF21" s="1" t="s">
        <v>2</v>
      </c>
      <c r="AG21" s="1" t="s">
        <v>3</v>
      </c>
      <c r="AH21" s="1" t="s">
        <v>2</v>
      </c>
      <c r="AI21" s="1" t="s">
        <v>2</v>
      </c>
      <c r="AJ21" s="1" t="s">
        <v>2</v>
      </c>
      <c r="AK21" s="1" t="s">
        <v>2</v>
      </c>
      <c r="AL21" s="1" t="s">
        <v>3</v>
      </c>
      <c r="AM21" s="1" t="s">
        <v>2</v>
      </c>
      <c r="AN21" s="1" t="s">
        <v>2</v>
      </c>
      <c r="AO21" s="1" t="s">
        <v>3</v>
      </c>
      <c r="AP21" s="1" t="s">
        <v>2</v>
      </c>
      <c r="AQ21" s="1" t="s">
        <v>3</v>
      </c>
      <c r="AR21" s="1" t="s">
        <v>2</v>
      </c>
      <c r="AS21" s="1" t="s">
        <v>3</v>
      </c>
      <c r="AT21" s="1" t="s">
        <v>3</v>
      </c>
      <c r="AU21" s="1" t="s">
        <v>2</v>
      </c>
      <c r="AV21" s="1" t="s">
        <v>2</v>
      </c>
      <c r="AW21" s="1" t="s">
        <v>2</v>
      </c>
      <c r="AX21" s="1" t="s">
        <v>3</v>
      </c>
      <c r="AY21" s="1" t="s">
        <v>2</v>
      </c>
      <c r="AZ21" s="1" t="s">
        <v>3</v>
      </c>
      <c r="BA21">
        <f>IF(V21="YES",1,0)</f>
        <v>0</v>
      </c>
      <c r="BB21">
        <f>IF(AT21="YES",1,0)</f>
        <v>1</v>
      </c>
      <c r="BC21">
        <f>MAX(BA21,BB21)*B21</f>
        <v>13</v>
      </c>
    </row>
    <row r="22" spans="1:55" x14ac:dyDescent="0.35">
      <c r="A22" s="2">
        <v>98</v>
      </c>
      <c r="B22" s="3">
        <f>COUNTIF(C22:AZ22,"YES")</f>
        <v>13</v>
      </c>
      <c r="C22" s="1" t="s">
        <v>3</v>
      </c>
      <c r="D22" s="1" t="s">
        <v>2</v>
      </c>
      <c r="E22" s="1" t="s">
        <v>3</v>
      </c>
      <c r="F22" s="1" t="s">
        <v>2</v>
      </c>
      <c r="G22" s="1" t="s">
        <v>2</v>
      </c>
      <c r="H22" s="1" t="s">
        <v>2</v>
      </c>
      <c r="I22" s="1" t="s">
        <v>2</v>
      </c>
      <c r="J22" s="1" t="s">
        <v>3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2</v>
      </c>
      <c r="U22" s="1" t="s">
        <v>2</v>
      </c>
      <c r="V22" s="1" t="s">
        <v>2</v>
      </c>
      <c r="W22" s="1" t="s">
        <v>3</v>
      </c>
      <c r="X22" s="1" t="s">
        <v>2</v>
      </c>
      <c r="Y22" s="1" t="s">
        <v>3</v>
      </c>
      <c r="Z22" s="1" t="s">
        <v>2</v>
      </c>
      <c r="AA22" s="1" t="s">
        <v>2</v>
      </c>
      <c r="AB22" s="1" t="s">
        <v>2</v>
      </c>
      <c r="AC22" s="1" t="s">
        <v>3</v>
      </c>
      <c r="AD22" s="1" t="s">
        <v>2</v>
      </c>
      <c r="AE22" s="1" t="s">
        <v>2</v>
      </c>
      <c r="AF22" s="1" t="s">
        <v>2</v>
      </c>
      <c r="AG22" s="1" t="s">
        <v>2</v>
      </c>
      <c r="AH22" s="1" t="s">
        <v>2</v>
      </c>
      <c r="AI22" s="1" t="s">
        <v>2</v>
      </c>
      <c r="AJ22" s="1" t="s">
        <v>3</v>
      </c>
      <c r="AK22" s="1" t="s">
        <v>2</v>
      </c>
      <c r="AL22" s="1" t="s">
        <v>3</v>
      </c>
      <c r="AM22" s="1" t="s">
        <v>2</v>
      </c>
      <c r="AN22" s="1" t="s">
        <v>2</v>
      </c>
      <c r="AO22" s="1" t="s">
        <v>3</v>
      </c>
      <c r="AP22" s="1" t="s">
        <v>2</v>
      </c>
      <c r="AQ22" s="1" t="s">
        <v>3</v>
      </c>
      <c r="AR22" s="1" t="s">
        <v>2</v>
      </c>
      <c r="AS22" s="1" t="s">
        <v>2</v>
      </c>
      <c r="AT22" s="1" t="s">
        <v>3</v>
      </c>
      <c r="AU22" s="1" t="s">
        <v>2</v>
      </c>
      <c r="AV22" s="1" t="s">
        <v>2</v>
      </c>
      <c r="AW22" s="1" t="s">
        <v>2</v>
      </c>
      <c r="AX22" s="1" t="s">
        <v>2</v>
      </c>
      <c r="AY22" s="1" t="s">
        <v>3</v>
      </c>
      <c r="AZ22" s="1" t="s">
        <v>3</v>
      </c>
      <c r="BA22">
        <f>IF(V22="YES",1,0)</f>
        <v>0</v>
      </c>
      <c r="BB22">
        <f>IF(AT22="YES",1,0)</f>
        <v>1</v>
      </c>
      <c r="BC22">
        <f>MAX(BA22,BB22)*B22</f>
        <v>13</v>
      </c>
    </row>
    <row r="23" spans="1:55" x14ac:dyDescent="0.35">
      <c r="A23" s="2">
        <v>13</v>
      </c>
      <c r="B23" s="3">
        <f>COUNTIF(C23:AZ23,"YES")</f>
        <v>10</v>
      </c>
      <c r="C23" s="1" t="s">
        <v>2</v>
      </c>
      <c r="D23" s="1" t="s">
        <v>3</v>
      </c>
      <c r="E23" s="1" t="s">
        <v>2</v>
      </c>
      <c r="F23" s="1" t="s">
        <v>2</v>
      </c>
      <c r="G23" s="1" t="s">
        <v>2</v>
      </c>
      <c r="H23" s="1" t="s">
        <v>2</v>
      </c>
      <c r="I23" s="1" t="s">
        <v>2</v>
      </c>
      <c r="J23" s="1" t="s">
        <v>2</v>
      </c>
      <c r="K23" s="1" t="s">
        <v>2</v>
      </c>
      <c r="L23" s="1" t="s">
        <v>2</v>
      </c>
      <c r="M23" s="1" t="s">
        <v>2</v>
      </c>
      <c r="N23" s="1" t="s">
        <v>2</v>
      </c>
      <c r="O23" s="1" t="s">
        <v>2</v>
      </c>
      <c r="P23" s="1" t="s">
        <v>2</v>
      </c>
      <c r="Q23" s="1" t="s">
        <v>2</v>
      </c>
      <c r="R23" s="1" t="s">
        <v>2</v>
      </c>
      <c r="S23" s="1" t="s">
        <v>2</v>
      </c>
      <c r="T23" s="1" t="s">
        <v>2</v>
      </c>
      <c r="U23" s="1" t="s">
        <v>2</v>
      </c>
      <c r="V23" s="1" t="s">
        <v>2</v>
      </c>
      <c r="W23" s="1" t="s">
        <v>2</v>
      </c>
      <c r="X23" s="1" t="s">
        <v>3</v>
      </c>
      <c r="Y23" s="1" t="s">
        <v>2</v>
      </c>
      <c r="Z23" s="1" t="s">
        <v>2</v>
      </c>
      <c r="AA23" s="1" t="s">
        <v>3</v>
      </c>
      <c r="AB23" s="1" t="s">
        <v>2</v>
      </c>
      <c r="AC23" s="1" t="s">
        <v>2</v>
      </c>
      <c r="AD23" s="1" t="s">
        <v>2</v>
      </c>
      <c r="AE23" s="1" t="s">
        <v>2</v>
      </c>
      <c r="AF23" s="1" t="s">
        <v>2</v>
      </c>
      <c r="AG23" s="1" t="s">
        <v>3</v>
      </c>
      <c r="AH23" s="1" t="s">
        <v>2</v>
      </c>
      <c r="AI23" s="1" t="s">
        <v>2</v>
      </c>
      <c r="AJ23" s="1" t="s">
        <v>2</v>
      </c>
      <c r="AK23" s="1" t="s">
        <v>3</v>
      </c>
      <c r="AL23" s="1" t="s">
        <v>3</v>
      </c>
      <c r="AM23" s="1" t="s">
        <v>2</v>
      </c>
      <c r="AN23" s="1" t="s">
        <v>2</v>
      </c>
      <c r="AO23" s="1" t="s">
        <v>3</v>
      </c>
      <c r="AP23" s="1" t="s">
        <v>2</v>
      </c>
      <c r="AQ23" s="1" t="s">
        <v>2</v>
      </c>
      <c r="AR23" s="1" t="s">
        <v>2</v>
      </c>
      <c r="AS23" s="1" t="s">
        <v>3</v>
      </c>
      <c r="AT23" s="1" t="s">
        <v>3</v>
      </c>
      <c r="AU23" s="1" t="s">
        <v>2</v>
      </c>
      <c r="AV23" s="1" t="s">
        <v>2</v>
      </c>
      <c r="AW23" s="1" t="s">
        <v>2</v>
      </c>
      <c r="AX23" s="1" t="s">
        <v>3</v>
      </c>
      <c r="AY23" s="1" t="s">
        <v>2</v>
      </c>
      <c r="AZ23" s="1" t="s">
        <v>2</v>
      </c>
      <c r="BA23">
        <f>IF(V23="YES",1,0)</f>
        <v>0</v>
      </c>
      <c r="BB23">
        <f>IF(AT23="YES",1,0)</f>
        <v>1</v>
      </c>
      <c r="BC23">
        <f>MAX(BA23,BB23)*B23</f>
        <v>10</v>
      </c>
    </row>
    <row r="24" spans="1:55" x14ac:dyDescent="0.35">
      <c r="A24" s="2">
        <v>19</v>
      </c>
      <c r="B24" s="3">
        <f>COUNTIF(C24:AZ24,"YES")</f>
        <v>9</v>
      </c>
      <c r="C24" s="1" t="s">
        <v>3</v>
      </c>
      <c r="D24" s="1" t="s">
        <v>2</v>
      </c>
      <c r="E24" s="1" t="s">
        <v>2</v>
      </c>
      <c r="F24" s="1" t="s">
        <v>2</v>
      </c>
      <c r="G24" s="1" t="s">
        <v>2</v>
      </c>
      <c r="H24" s="1" t="s">
        <v>2</v>
      </c>
      <c r="I24" s="1" t="s">
        <v>2</v>
      </c>
      <c r="J24" s="1" t="s">
        <v>3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2</v>
      </c>
      <c r="U24" s="1" t="s">
        <v>2</v>
      </c>
      <c r="V24" s="1" t="s">
        <v>2</v>
      </c>
      <c r="W24" s="1" t="s">
        <v>3</v>
      </c>
      <c r="X24" s="1" t="s">
        <v>2</v>
      </c>
      <c r="Y24" s="1" t="s">
        <v>3</v>
      </c>
      <c r="Z24" s="1" t="s">
        <v>2</v>
      </c>
      <c r="AA24" s="1" t="s">
        <v>2</v>
      </c>
      <c r="AB24" s="1" t="s">
        <v>2</v>
      </c>
      <c r="AC24" s="1" t="s">
        <v>2</v>
      </c>
      <c r="AD24" s="1" t="s">
        <v>2</v>
      </c>
      <c r="AE24" s="1" t="s">
        <v>2</v>
      </c>
      <c r="AF24" s="1" t="s">
        <v>2</v>
      </c>
      <c r="AG24" s="1" t="s">
        <v>2</v>
      </c>
      <c r="AH24" s="1" t="s">
        <v>2</v>
      </c>
      <c r="AI24" s="1" t="s">
        <v>2</v>
      </c>
      <c r="AJ24" s="1" t="s">
        <v>3</v>
      </c>
      <c r="AK24" s="1" t="s">
        <v>2</v>
      </c>
      <c r="AL24" s="1" t="s">
        <v>3</v>
      </c>
      <c r="AM24" s="1" t="s">
        <v>3</v>
      </c>
      <c r="AN24" s="1" t="s">
        <v>2</v>
      </c>
      <c r="AO24" s="1" t="s">
        <v>2</v>
      </c>
      <c r="AP24" s="1" t="s">
        <v>2</v>
      </c>
      <c r="AQ24" s="1" t="s">
        <v>3</v>
      </c>
      <c r="AR24" s="1" t="s">
        <v>2</v>
      </c>
      <c r="AS24" s="1" t="s">
        <v>2</v>
      </c>
      <c r="AT24" s="1" t="s">
        <v>3</v>
      </c>
      <c r="AU24" s="1" t="s">
        <v>2</v>
      </c>
      <c r="AV24" s="1" t="s">
        <v>2</v>
      </c>
      <c r="AW24" s="1" t="s">
        <v>2</v>
      </c>
      <c r="AX24" s="1" t="s">
        <v>2</v>
      </c>
      <c r="AY24" s="1" t="s">
        <v>2</v>
      </c>
      <c r="AZ24" s="1" t="s">
        <v>2</v>
      </c>
      <c r="BA24">
        <f>IF(V24="YES",1,0)</f>
        <v>0</v>
      </c>
      <c r="BB24">
        <f>IF(AT24="YES",1,0)</f>
        <v>1</v>
      </c>
      <c r="BC24">
        <f>MAX(BA24,BB24)*B24</f>
        <v>9</v>
      </c>
    </row>
    <row r="25" spans="1:55" x14ac:dyDescent="0.35">
      <c r="A25" s="2">
        <v>58</v>
      </c>
      <c r="B25" s="3">
        <f>COUNTIF(C25:AZ25,"YES")</f>
        <v>9</v>
      </c>
      <c r="C25" s="1" t="s">
        <v>2</v>
      </c>
      <c r="D25" s="1" t="s">
        <v>2</v>
      </c>
      <c r="E25" s="1" t="s">
        <v>2</v>
      </c>
      <c r="F25" s="1" t="s">
        <v>2</v>
      </c>
      <c r="G25" s="1" t="s">
        <v>2</v>
      </c>
      <c r="H25" s="1" t="s">
        <v>2</v>
      </c>
      <c r="I25" s="1" t="s">
        <v>3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3</v>
      </c>
      <c r="Q25" s="1" t="s">
        <v>2</v>
      </c>
      <c r="R25" s="1" t="s">
        <v>2</v>
      </c>
      <c r="S25" s="1" t="s">
        <v>3</v>
      </c>
      <c r="T25" s="1" t="s">
        <v>2</v>
      </c>
      <c r="U25" s="1" t="s">
        <v>2</v>
      </c>
      <c r="V25" s="1" t="s">
        <v>2</v>
      </c>
      <c r="W25" s="1" t="s">
        <v>2</v>
      </c>
      <c r="X25" s="1" t="s">
        <v>2</v>
      </c>
      <c r="Y25" s="1" t="s">
        <v>2</v>
      </c>
      <c r="Z25" s="1" t="s">
        <v>2</v>
      </c>
      <c r="AA25" s="1" t="s">
        <v>2</v>
      </c>
      <c r="AB25" s="1" t="s">
        <v>2</v>
      </c>
      <c r="AC25" s="1" t="s">
        <v>2</v>
      </c>
      <c r="AD25" s="1" t="s">
        <v>2</v>
      </c>
      <c r="AE25" s="1" t="s">
        <v>2</v>
      </c>
      <c r="AF25" s="1" t="s">
        <v>2</v>
      </c>
      <c r="AG25" s="1" t="s">
        <v>3</v>
      </c>
      <c r="AH25" s="1" t="s">
        <v>2</v>
      </c>
      <c r="AI25" s="1" t="s">
        <v>2</v>
      </c>
      <c r="AJ25" s="1" t="s">
        <v>2</v>
      </c>
      <c r="AK25" s="1" t="s">
        <v>2</v>
      </c>
      <c r="AL25" s="1" t="s">
        <v>2</v>
      </c>
      <c r="AM25" s="1" t="s">
        <v>2</v>
      </c>
      <c r="AN25" s="1" t="s">
        <v>3</v>
      </c>
      <c r="AO25" s="1" t="s">
        <v>2</v>
      </c>
      <c r="AP25" s="1" t="s">
        <v>3</v>
      </c>
      <c r="AQ25" s="1" t="s">
        <v>2</v>
      </c>
      <c r="AR25" s="1" t="s">
        <v>2</v>
      </c>
      <c r="AS25" s="1" t="s">
        <v>2</v>
      </c>
      <c r="AT25" s="1" t="s">
        <v>3</v>
      </c>
      <c r="AU25" s="1" t="s">
        <v>2</v>
      </c>
      <c r="AV25" s="1" t="s">
        <v>3</v>
      </c>
      <c r="AW25" s="1" t="s">
        <v>3</v>
      </c>
      <c r="AX25" s="1" t="s">
        <v>2</v>
      </c>
      <c r="AY25" s="1" t="s">
        <v>2</v>
      </c>
      <c r="AZ25" s="1" t="s">
        <v>2</v>
      </c>
      <c r="BA25">
        <f>IF(V25="YES",1,0)</f>
        <v>0</v>
      </c>
      <c r="BB25">
        <f>IF(AT25="YES",1,0)</f>
        <v>1</v>
      </c>
      <c r="BC25">
        <f>MAX(BA25,BB25)*B25</f>
        <v>9</v>
      </c>
    </row>
    <row r="26" spans="1:55" x14ac:dyDescent="0.35">
      <c r="A26" s="2">
        <v>81</v>
      </c>
      <c r="B26" s="3">
        <f>COUNTIF(C26:AZ26,"YES")</f>
        <v>9</v>
      </c>
      <c r="C26" s="1" t="s">
        <v>2</v>
      </c>
      <c r="D26" s="1" t="s">
        <v>2</v>
      </c>
      <c r="E26" s="1" t="s">
        <v>2</v>
      </c>
      <c r="F26" s="1" t="s">
        <v>3</v>
      </c>
      <c r="G26" s="1" t="s">
        <v>2</v>
      </c>
      <c r="H26" s="1" t="s">
        <v>2</v>
      </c>
      <c r="I26" s="1" t="s">
        <v>2</v>
      </c>
      <c r="J26" s="1" t="s">
        <v>2</v>
      </c>
      <c r="K26" s="1" t="s">
        <v>2</v>
      </c>
      <c r="L26" s="1" t="s">
        <v>2</v>
      </c>
      <c r="M26" s="1" t="s">
        <v>2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2</v>
      </c>
      <c r="S26" s="1" t="s">
        <v>2</v>
      </c>
      <c r="T26" s="1" t="s">
        <v>2</v>
      </c>
      <c r="U26" s="1" t="s">
        <v>2</v>
      </c>
      <c r="V26" s="1" t="s">
        <v>2</v>
      </c>
      <c r="W26" s="1" t="s">
        <v>2</v>
      </c>
      <c r="X26" s="1" t="s">
        <v>2</v>
      </c>
      <c r="Y26" s="1" t="s">
        <v>3</v>
      </c>
      <c r="Z26" s="1" t="s">
        <v>3</v>
      </c>
      <c r="AA26" s="1" t="s">
        <v>2</v>
      </c>
      <c r="AB26" s="1" t="s">
        <v>2</v>
      </c>
      <c r="AC26" s="1" t="s">
        <v>2</v>
      </c>
      <c r="AD26" s="1" t="s">
        <v>2</v>
      </c>
      <c r="AE26" s="1" t="s">
        <v>3</v>
      </c>
      <c r="AF26" s="1" t="s">
        <v>2</v>
      </c>
      <c r="AG26" s="1" t="s">
        <v>2</v>
      </c>
      <c r="AH26" s="1" t="s">
        <v>2</v>
      </c>
      <c r="AI26" s="1" t="s">
        <v>2</v>
      </c>
      <c r="AJ26" s="1" t="s">
        <v>3</v>
      </c>
      <c r="AK26" s="1" t="s">
        <v>2</v>
      </c>
      <c r="AL26" s="1" t="s">
        <v>2</v>
      </c>
      <c r="AM26" s="1" t="s">
        <v>2</v>
      </c>
      <c r="AN26" s="1" t="s">
        <v>2</v>
      </c>
      <c r="AO26" s="1" t="s">
        <v>2</v>
      </c>
      <c r="AP26" s="1" t="s">
        <v>2</v>
      </c>
      <c r="AQ26" s="1" t="s">
        <v>3</v>
      </c>
      <c r="AR26" s="1" t="s">
        <v>2</v>
      </c>
      <c r="AS26" s="1" t="s">
        <v>2</v>
      </c>
      <c r="AT26" s="1" t="s">
        <v>3</v>
      </c>
      <c r="AU26" s="1" t="s">
        <v>2</v>
      </c>
      <c r="AV26" s="1" t="s">
        <v>2</v>
      </c>
      <c r="AW26" s="1" t="s">
        <v>2</v>
      </c>
      <c r="AX26" s="1" t="s">
        <v>3</v>
      </c>
      <c r="AY26" s="1" t="s">
        <v>3</v>
      </c>
      <c r="AZ26" s="1" t="s">
        <v>2</v>
      </c>
      <c r="BA26">
        <f>IF(V26="YES",1,0)</f>
        <v>0</v>
      </c>
      <c r="BB26">
        <f>IF(AT26="YES",1,0)</f>
        <v>1</v>
      </c>
      <c r="BC26">
        <f>MAX(BA26,BB26)*B26</f>
        <v>9</v>
      </c>
    </row>
    <row r="27" spans="1:55" x14ac:dyDescent="0.35">
      <c r="A27" s="2">
        <v>80</v>
      </c>
      <c r="B27" s="3">
        <f>COUNTIF(C27:AZ27,"YES")</f>
        <v>8</v>
      </c>
      <c r="C27" s="1" t="s">
        <v>2</v>
      </c>
      <c r="D27" s="1" t="s">
        <v>2</v>
      </c>
      <c r="E27" s="1" t="s">
        <v>3</v>
      </c>
      <c r="F27" s="1" t="s">
        <v>2</v>
      </c>
      <c r="G27" s="1" t="s">
        <v>2</v>
      </c>
      <c r="H27" s="1" t="s">
        <v>2</v>
      </c>
      <c r="I27" s="1" t="s">
        <v>2</v>
      </c>
      <c r="J27" s="1" t="s">
        <v>2</v>
      </c>
      <c r="K27" s="1" t="s">
        <v>2</v>
      </c>
      <c r="L27" s="1" t="s">
        <v>2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</v>
      </c>
      <c r="S27" s="1" t="s">
        <v>2</v>
      </c>
      <c r="T27" s="1" t="s">
        <v>3</v>
      </c>
      <c r="U27" s="1" t="s">
        <v>2</v>
      </c>
      <c r="V27" s="1" t="s">
        <v>3</v>
      </c>
      <c r="W27" s="1" t="s">
        <v>2</v>
      </c>
      <c r="X27" s="1" t="s">
        <v>2</v>
      </c>
      <c r="Y27" s="1" t="s">
        <v>2</v>
      </c>
      <c r="Z27" s="1" t="s">
        <v>2</v>
      </c>
      <c r="AA27" s="1" t="s">
        <v>2</v>
      </c>
      <c r="AB27" s="1" t="s">
        <v>2</v>
      </c>
      <c r="AC27" s="1" t="s">
        <v>2</v>
      </c>
      <c r="AD27" s="1" t="s">
        <v>3</v>
      </c>
      <c r="AE27" s="1" t="s">
        <v>2</v>
      </c>
      <c r="AF27" s="1" t="s">
        <v>2</v>
      </c>
      <c r="AG27" s="1" t="s">
        <v>2</v>
      </c>
      <c r="AH27" s="1" t="s">
        <v>2</v>
      </c>
      <c r="AI27" s="1" t="s">
        <v>2</v>
      </c>
      <c r="AJ27" s="1" t="s">
        <v>2</v>
      </c>
      <c r="AK27" s="1" t="s">
        <v>2</v>
      </c>
      <c r="AL27" s="1" t="s">
        <v>2</v>
      </c>
      <c r="AM27" s="1" t="s">
        <v>2</v>
      </c>
      <c r="AN27" s="1" t="s">
        <v>3</v>
      </c>
      <c r="AO27" s="1" t="s">
        <v>3</v>
      </c>
      <c r="AP27" s="1" t="s">
        <v>3</v>
      </c>
      <c r="AQ27" s="1" t="s">
        <v>2</v>
      </c>
      <c r="AR27" s="1" t="s">
        <v>2</v>
      </c>
      <c r="AS27" s="1" t="s">
        <v>2</v>
      </c>
      <c r="AT27" s="1" t="s">
        <v>2</v>
      </c>
      <c r="AU27" s="1" t="s">
        <v>2</v>
      </c>
      <c r="AV27" s="1" t="s">
        <v>2</v>
      </c>
      <c r="AW27" s="1" t="s">
        <v>3</v>
      </c>
      <c r="AX27" s="1" t="s">
        <v>2</v>
      </c>
      <c r="AY27" s="1" t="s">
        <v>2</v>
      </c>
      <c r="AZ27" s="1" t="s">
        <v>2</v>
      </c>
      <c r="BA27">
        <f>IF(V27="YES",1,0)</f>
        <v>1</v>
      </c>
      <c r="BB27">
        <f>IF(AT27="YES",1,0)</f>
        <v>0</v>
      </c>
      <c r="BC27">
        <f>MAX(BA27,BB27)*B27</f>
        <v>8</v>
      </c>
    </row>
    <row r="28" spans="1:55" x14ac:dyDescent="0.35">
      <c r="A28" s="2">
        <v>56</v>
      </c>
      <c r="B28" s="3">
        <f>COUNTIF(C28:AZ28,"YES")</f>
        <v>8</v>
      </c>
      <c r="C28" s="1" t="s">
        <v>2</v>
      </c>
      <c r="D28" s="1" t="s">
        <v>2</v>
      </c>
      <c r="E28" s="1" t="s">
        <v>3</v>
      </c>
      <c r="F28" s="1" t="s">
        <v>2</v>
      </c>
      <c r="G28" s="1" t="s">
        <v>2</v>
      </c>
      <c r="H28" s="1" t="s">
        <v>2</v>
      </c>
      <c r="I28" s="1" t="s">
        <v>2</v>
      </c>
      <c r="J28" s="1" t="s">
        <v>2</v>
      </c>
      <c r="K28" s="1" t="s">
        <v>2</v>
      </c>
      <c r="L28" s="1" t="s">
        <v>2</v>
      </c>
      <c r="M28" s="1" t="s">
        <v>3</v>
      </c>
      <c r="N28" s="1" t="s">
        <v>2</v>
      </c>
      <c r="O28" s="1" t="s">
        <v>2</v>
      </c>
      <c r="P28" s="1" t="s">
        <v>2</v>
      </c>
      <c r="Q28" s="1" t="s">
        <v>2</v>
      </c>
      <c r="R28" s="1" t="s">
        <v>2</v>
      </c>
      <c r="S28" s="1" t="s">
        <v>2</v>
      </c>
      <c r="T28" s="1" t="s">
        <v>3</v>
      </c>
      <c r="U28" s="1" t="s">
        <v>2</v>
      </c>
      <c r="V28" s="1" t="s">
        <v>3</v>
      </c>
      <c r="W28" s="1" t="s">
        <v>2</v>
      </c>
      <c r="X28" s="1" t="s">
        <v>2</v>
      </c>
      <c r="Y28" s="1" t="s">
        <v>2</v>
      </c>
      <c r="Z28" s="1" t="s">
        <v>2</v>
      </c>
      <c r="AA28" s="1" t="s">
        <v>2</v>
      </c>
      <c r="AB28" s="1" t="s">
        <v>2</v>
      </c>
      <c r="AC28" s="1" t="s">
        <v>3</v>
      </c>
      <c r="AD28" s="1" t="s">
        <v>3</v>
      </c>
      <c r="AE28" s="1" t="s">
        <v>2</v>
      </c>
      <c r="AF28" s="1" t="s">
        <v>2</v>
      </c>
      <c r="AG28" s="1" t="s">
        <v>2</v>
      </c>
      <c r="AH28" s="1" t="s">
        <v>2</v>
      </c>
      <c r="AI28" s="1" t="s">
        <v>2</v>
      </c>
      <c r="AJ28" s="1" t="s">
        <v>2</v>
      </c>
      <c r="AK28" s="1" t="s">
        <v>2</v>
      </c>
      <c r="AL28" s="1" t="s">
        <v>2</v>
      </c>
      <c r="AM28" s="1" t="s">
        <v>2</v>
      </c>
      <c r="AN28" s="1" t="s">
        <v>3</v>
      </c>
      <c r="AO28" s="1" t="s">
        <v>2</v>
      </c>
      <c r="AP28" s="1" t="s">
        <v>2</v>
      </c>
      <c r="AQ28" s="1" t="s">
        <v>2</v>
      </c>
      <c r="AR28" s="1" t="s">
        <v>2</v>
      </c>
      <c r="AS28" s="1" t="s">
        <v>2</v>
      </c>
      <c r="AT28" s="1" t="s">
        <v>2</v>
      </c>
      <c r="AU28" s="1" t="s">
        <v>2</v>
      </c>
      <c r="AV28" s="1" t="s">
        <v>2</v>
      </c>
      <c r="AW28" s="1" t="s">
        <v>2</v>
      </c>
      <c r="AX28" s="1" t="s">
        <v>2</v>
      </c>
      <c r="AY28" s="1" t="s">
        <v>2</v>
      </c>
      <c r="AZ28" s="1" t="s">
        <v>3</v>
      </c>
      <c r="BA28">
        <f>IF(V28="YES",1,0)</f>
        <v>1</v>
      </c>
      <c r="BB28">
        <f>IF(AT28="YES",1,0)</f>
        <v>0</v>
      </c>
      <c r="BC28">
        <f>MAX(BA28,BB28)*B28</f>
        <v>8</v>
      </c>
    </row>
    <row r="29" spans="1:55" x14ac:dyDescent="0.35">
      <c r="A29" s="2">
        <v>92</v>
      </c>
      <c r="B29" s="3">
        <f>COUNTIF(C29:AZ29,"YES")</f>
        <v>7</v>
      </c>
      <c r="C29" s="1" t="s">
        <v>2</v>
      </c>
      <c r="D29" s="1" t="s">
        <v>2</v>
      </c>
      <c r="E29" s="1" t="s">
        <v>3</v>
      </c>
      <c r="F29" s="1" t="s">
        <v>2</v>
      </c>
      <c r="G29" s="1" t="s">
        <v>2</v>
      </c>
      <c r="H29" s="1" t="s">
        <v>2</v>
      </c>
      <c r="I29" s="1" t="s">
        <v>2</v>
      </c>
      <c r="J29" s="1" t="s">
        <v>2</v>
      </c>
      <c r="K29" s="1" t="s">
        <v>2</v>
      </c>
      <c r="L29" s="1" t="s">
        <v>2</v>
      </c>
      <c r="M29" s="1" t="s">
        <v>3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3</v>
      </c>
      <c r="U29" s="1" t="s">
        <v>2</v>
      </c>
      <c r="V29" s="1" t="s">
        <v>3</v>
      </c>
      <c r="W29" s="1" t="s">
        <v>2</v>
      </c>
      <c r="X29" s="1" t="s">
        <v>2</v>
      </c>
      <c r="Y29" s="1" t="s">
        <v>2</v>
      </c>
      <c r="Z29" s="1" t="s">
        <v>2</v>
      </c>
      <c r="AA29" s="1" t="s">
        <v>2</v>
      </c>
      <c r="AB29" s="1" t="s">
        <v>2</v>
      </c>
      <c r="AC29" s="1" t="s">
        <v>3</v>
      </c>
      <c r="AD29" s="1" t="s">
        <v>3</v>
      </c>
      <c r="AE29" s="1" t="s">
        <v>2</v>
      </c>
      <c r="AF29" s="1" t="s">
        <v>2</v>
      </c>
      <c r="AG29" s="1" t="s">
        <v>2</v>
      </c>
      <c r="AH29" s="1" t="s">
        <v>2</v>
      </c>
      <c r="AI29" s="1" t="s">
        <v>2</v>
      </c>
      <c r="AJ29" s="1" t="s">
        <v>2</v>
      </c>
      <c r="AK29" s="1" t="s">
        <v>2</v>
      </c>
      <c r="AL29" s="1" t="s">
        <v>2</v>
      </c>
      <c r="AM29" s="1" t="s">
        <v>2</v>
      </c>
      <c r="AN29" s="1" t="s">
        <v>2</v>
      </c>
      <c r="AO29" s="1" t="s">
        <v>2</v>
      </c>
      <c r="AP29" s="1" t="s">
        <v>2</v>
      </c>
      <c r="AQ29" s="1" t="s">
        <v>2</v>
      </c>
      <c r="AR29" s="1" t="s">
        <v>2</v>
      </c>
      <c r="AS29" s="1" t="s">
        <v>2</v>
      </c>
      <c r="AT29" s="1" t="s">
        <v>2</v>
      </c>
      <c r="AU29" s="1" t="s">
        <v>2</v>
      </c>
      <c r="AV29" s="1" t="s">
        <v>2</v>
      </c>
      <c r="AW29" s="1" t="s">
        <v>2</v>
      </c>
      <c r="AX29" s="1" t="s">
        <v>2</v>
      </c>
      <c r="AY29" s="1" t="s">
        <v>2</v>
      </c>
      <c r="AZ29" s="1" t="s">
        <v>3</v>
      </c>
      <c r="BA29">
        <f>IF(V29="YES",1,0)</f>
        <v>1</v>
      </c>
      <c r="BB29">
        <f>IF(AT29="YES",1,0)</f>
        <v>0</v>
      </c>
      <c r="BC29">
        <f>MAX(BA29,BB29)*B29</f>
        <v>7</v>
      </c>
    </row>
    <row r="30" spans="1:55" x14ac:dyDescent="0.35">
      <c r="A30" s="2">
        <v>21</v>
      </c>
      <c r="B30" s="3">
        <f>COUNTIF(C30:AZ30,"YES")</f>
        <v>7</v>
      </c>
      <c r="C30" s="1" t="s">
        <v>2</v>
      </c>
      <c r="D30" s="1" t="s">
        <v>2</v>
      </c>
      <c r="E30" s="1" t="s">
        <v>3</v>
      </c>
      <c r="F30" s="1" t="s">
        <v>2</v>
      </c>
      <c r="G30" s="1" t="s">
        <v>2</v>
      </c>
      <c r="H30" s="1" t="s">
        <v>2</v>
      </c>
      <c r="I30" s="1" t="s">
        <v>2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3</v>
      </c>
      <c r="U30" s="1" t="s">
        <v>2</v>
      </c>
      <c r="V30" s="1" t="s">
        <v>3</v>
      </c>
      <c r="W30" s="1" t="s">
        <v>2</v>
      </c>
      <c r="X30" s="1" t="s">
        <v>2</v>
      </c>
      <c r="Y30" s="1" t="s">
        <v>2</v>
      </c>
      <c r="Z30" s="1" t="s">
        <v>2</v>
      </c>
      <c r="AA30" s="1" t="s">
        <v>2</v>
      </c>
      <c r="AB30" s="1" t="s">
        <v>2</v>
      </c>
      <c r="AC30" s="1" t="s">
        <v>2</v>
      </c>
      <c r="AD30" s="1" t="s">
        <v>3</v>
      </c>
      <c r="AE30" s="1" t="s">
        <v>2</v>
      </c>
      <c r="AF30" s="1" t="s">
        <v>2</v>
      </c>
      <c r="AG30" s="1" t="s">
        <v>2</v>
      </c>
      <c r="AH30" s="1" t="s">
        <v>2</v>
      </c>
      <c r="AI30" s="1" t="s">
        <v>2</v>
      </c>
      <c r="AJ30" s="1" t="s">
        <v>2</v>
      </c>
      <c r="AK30" s="1" t="s">
        <v>2</v>
      </c>
      <c r="AL30" s="1" t="s">
        <v>2</v>
      </c>
      <c r="AM30" s="1" t="s">
        <v>2</v>
      </c>
      <c r="AN30" s="1" t="s">
        <v>3</v>
      </c>
      <c r="AO30" s="1" t="s">
        <v>2</v>
      </c>
      <c r="AP30" s="1" t="s">
        <v>3</v>
      </c>
      <c r="AQ30" s="1" t="s">
        <v>2</v>
      </c>
      <c r="AR30" s="1" t="s">
        <v>2</v>
      </c>
      <c r="AS30" s="1" t="s">
        <v>2</v>
      </c>
      <c r="AT30" s="1" t="s">
        <v>2</v>
      </c>
      <c r="AU30" s="1" t="s">
        <v>2</v>
      </c>
      <c r="AV30" s="1" t="s">
        <v>2</v>
      </c>
      <c r="AW30" s="1" t="s">
        <v>3</v>
      </c>
      <c r="AX30" s="1" t="s">
        <v>2</v>
      </c>
      <c r="AY30" s="1" t="s">
        <v>2</v>
      </c>
      <c r="AZ30" s="1" t="s">
        <v>2</v>
      </c>
      <c r="BA30">
        <f>IF(V30="YES",1,0)</f>
        <v>1</v>
      </c>
      <c r="BB30">
        <f>IF(AT30="YES",1,0)</f>
        <v>0</v>
      </c>
      <c r="BC30">
        <f>MAX(BA30,BB30)*B30</f>
        <v>7</v>
      </c>
    </row>
    <row r="31" spans="1:55" x14ac:dyDescent="0.35">
      <c r="A31" s="2">
        <v>49</v>
      </c>
      <c r="B31" s="3">
        <f>COUNTIF(C31:AZ31,"YES")</f>
        <v>6</v>
      </c>
      <c r="C31" s="1" t="s">
        <v>2</v>
      </c>
      <c r="D31" s="1" t="s">
        <v>2</v>
      </c>
      <c r="E31" s="1" t="s">
        <v>2</v>
      </c>
      <c r="F31" s="1" t="s">
        <v>3</v>
      </c>
      <c r="G31" s="1" t="s">
        <v>2</v>
      </c>
      <c r="H31" s="1" t="s">
        <v>2</v>
      </c>
      <c r="I31" s="1" t="s">
        <v>2</v>
      </c>
      <c r="J31" s="1" t="s">
        <v>3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2</v>
      </c>
      <c r="U31" s="1" t="s">
        <v>2</v>
      </c>
      <c r="V31" s="1" t="s">
        <v>2</v>
      </c>
      <c r="W31" s="1" t="s">
        <v>2</v>
      </c>
      <c r="X31" s="1" t="s">
        <v>2</v>
      </c>
      <c r="Y31" s="1" t="s">
        <v>2</v>
      </c>
      <c r="Z31" s="1" t="s">
        <v>2</v>
      </c>
      <c r="AA31" s="1" t="s">
        <v>2</v>
      </c>
      <c r="AB31" s="1" t="s">
        <v>2</v>
      </c>
      <c r="AC31" s="1" t="s">
        <v>2</v>
      </c>
      <c r="AD31" s="1" t="s">
        <v>2</v>
      </c>
      <c r="AE31" s="1" t="s">
        <v>2</v>
      </c>
      <c r="AF31" s="1" t="s">
        <v>2</v>
      </c>
      <c r="AG31" s="1" t="s">
        <v>2</v>
      </c>
      <c r="AH31" s="1" t="s">
        <v>2</v>
      </c>
      <c r="AI31" s="1" t="s">
        <v>2</v>
      </c>
      <c r="AJ31" s="1" t="s">
        <v>3</v>
      </c>
      <c r="AK31" s="1" t="s">
        <v>2</v>
      </c>
      <c r="AL31" s="1" t="s">
        <v>2</v>
      </c>
      <c r="AM31" s="1" t="s">
        <v>3</v>
      </c>
      <c r="AN31" s="1" t="s">
        <v>2</v>
      </c>
      <c r="AO31" s="1" t="s">
        <v>2</v>
      </c>
      <c r="AP31" s="1" t="s">
        <v>2</v>
      </c>
      <c r="AQ31" s="1" t="s">
        <v>2</v>
      </c>
      <c r="AR31" s="1" t="s">
        <v>2</v>
      </c>
      <c r="AS31" s="1" t="s">
        <v>2</v>
      </c>
      <c r="AT31" s="1" t="s">
        <v>3</v>
      </c>
      <c r="AU31" s="1" t="s">
        <v>2</v>
      </c>
      <c r="AV31" s="1" t="s">
        <v>2</v>
      </c>
      <c r="AW31" s="1" t="s">
        <v>2</v>
      </c>
      <c r="AX31" s="1" t="s">
        <v>3</v>
      </c>
      <c r="AY31" s="1" t="s">
        <v>2</v>
      </c>
      <c r="AZ31" s="1" t="s">
        <v>2</v>
      </c>
      <c r="BA31">
        <f>IF(V31="YES",1,0)</f>
        <v>0</v>
      </c>
      <c r="BB31">
        <f>IF(AT31="YES",1,0)</f>
        <v>1</v>
      </c>
      <c r="BC31">
        <f>MAX(BA31,BB31)*B31</f>
        <v>6</v>
      </c>
    </row>
    <row r="32" spans="1:55" x14ac:dyDescent="0.35">
      <c r="A32" s="2">
        <v>5</v>
      </c>
      <c r="B32" s="3">
        <f>COUNTIF(C32:AZ32,"YES")</f>
        <v>5</v>
      </c>
      <c r="C32" s="1" t="s">
        <v>2</v>
      </c>
      <c r="D32" s="1" t="s">
        <v>2</v>
      </c>
      <c r="E32" s="1" t="s">
        <v>3</v>
      </c>
      <c r="F32" s="1" t="s">
        <v>2</v>
      </c>
      <c r="G32" s="1" t="s">
        <v>2</v>
      </c>
      <c r="H32" s="1" t="s">
        <v>2</v>
      </c>
      <c r="I32" s="1" t="s">
        <v>2</v>
      </c>
      <c r="J32" s="1" t="s">
        <v>2</v>
      </c>
      <c r="K32" s="1" t="s">
        <v>2</v>
      </c>
      <c r="L32" s="1" t="s">
        <v>2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" t="s">
        <v>3</v>
      </c>
      <c r="U32" s="1" t="s">
        <v>2</v>
      </c>
      <c r="V32" s="1" t="s">
        <v>3</v>
      </c>
      <c r="W32" s="1" t="s">
        <v>2</v>
      </c>
      <c r="X32" s="1" t="s">
        <v>2</v>
      </c>
      <c r="Y32" s="1" t="s">
        <v>2</v>
      </c>
      <c r="Z32" s="1" t="s">
        <v>2</v>
      </c>
      <c r="AA32" s="1" t="s">
        <v>2</v>
      </c>
      <c r="AB32" s="1" t="s">
        <v>2</v>
      </c>
      <c r="AC32" s="1" t="s">
        <v>2</v>
      </c>
      <c r="AD32" s="1" t="s">
        <v>3</v>
      </c>
      <c r="AE32" s="1" t="s">
        <v>2</v>
      </c>
      <c r="AF32" s="1" t="s">
        <v>2</v>
      </c>
      <c r="AG32" s="1" t="s">
        <v>2</v>
      </c>
      <c r="AH32" s="1" t="s">
        <v>2</v>
      </c>
      <c r="AI32" s="1" t="s">
        <v>2</v>
      </c>
      <c r="AJ32" s="1" t="s">
        <v>2</v>
      </c>
      <c r="AK32" s="1" t="s">
        <v>2</v>
      </c>
      <c r="AL32" s="1" t="s">
        <v>2</v>
      </c>
      <c r="AM32" s="1" t="s">
        <v>2</v>
      </c>
      <c r="AN32" s="1" t="s">
        <v>3</v>
      </c>
      <c r="AO32" s="1" t="s">
        <v>2</v>
      </c>
      <c r="AP32" s="1" t="s">
        <v>2</v>
      </c>
      <c r="AQ32" s="1" t="s">
        <v>2</v>
      </c>
      <c r="AR32" s="1" t="s">
        <v>2</v>
      </c>
      <c r="AS32" s="1" t="s">
        <v>2</v>
      </c>
      <c r="AT32" s="1" t="s">
        <v>2</v>
      </c>
      <c r="AU32" s="1" t="s">
        <v>2</v>
      </c>
      <c r="AV32" s="1" t="s">
        <v>2</v>
      </c>
      <c r="AW32" s="1" t="s">
        <v>2</v>
      </c>
      <c r="AX32" s="1" t="s">
        <v>2</v>
      </c>
      <c r="AY32" s="1" t="s">
        <v>2</v>
      </c>
      <c r="AZ32" s="1" t="s">
        <v>2</v>
      </c>
      <c r="BA32">
        <f>IF(V32="YES",1,0)</f>
        <v>1</v>
      </c>
      <c r="BB32">
        <f>IF(AT32="YES",1,0)</f>
        <v>0</v>
      </c>
      <c r="BC32">
        <f>MAX(BA32,BB32)*B32</f>
        <v>5</v>
      </c>
    </row>
    <row r="33" spans="1:55" x14ac:dyDescent="0.35">
      <c r="A33" s="2">
        <v>82</v>
      </c>
      <c r="B33" s="3">
        <f>COUNTIF(C33:AZ33,"YES")</f>
        <v>5</v>
      </c>
      <c r="C33" s="1" t="s">
        <v>2</v>
      </c>
      <c r="D33" s="1" t="s">
        <v>2</v>
      </c>
      <c r="E33" s="1" t="s">
        <v>2</v>
      </c>
      <c r="F33" s="1" t="s">
        <v>3</v>
      </c>
      <c r="G33" s="1" t="s">
        <v>2</v>
      </c>
      <c r="H33" s="1" t="s">
        <v>2</v>
      </c>
      <c r="I33" s="1" t="s">
        <v>2</v>
      </c>
      <c r="J33" s="1" t="s">
        <v>3</v>
      </c>
      <c r="K33" s="1" t="s">
        <v>2</v>
      </c>
      <c r="L33" s="1" t="s">
        <v>2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S33" s="1" t="s">
        <v>2</v>
      </c>
      <c r="T33" s="1" t="s">
        <v>2</v>
      </c>
      <c r="U33" s="1" t="s">
        <v>2</v>
      </c>
      <c r="V33" s="1" t="s">
        <v>2</v>
      </c>
      <c r="W33" s="1" t="s">
        <v>2</v>
      </c>
      <c r="X33" s="1" t="s">
        <v>2</v>
      </c>
      <c r="Y33" s="1" t="s">
        <v>2</v>
      </c>
      <c r="Z33" s="1" t="s">
        <v>2</v>
      </c>
      <c r="AA33" s="1" t="s">
        <v>2</v>
      </c>
      <c r="AB33" s="1" t="s">
        <v>2</v>
      </c>
      <c r="AC33" s="1" t="s">
        <v>2</v>
      </c>
      <c r="AD33" s="1" t="s">
        <v>2</v>
      </c>
      <c r="AE33" s="1" t="s">
        <v>2</v>
      </c>
      <c r="AF33" s="1" t="s">
        <v>2</v>
      </c>
      <c r="AG33" s="1" t="s">
        <v>2</v>
      </c>
      <c r="AH33" s="1" t="s">
        <v>2</v>
      </c>
      <c r="AI33" s="1" t="s">
        <v>2</v>
      </c>
      <c r="AJ33" s="1" t="s">
        <v>2</v>
      </c>
      <c r="AK33" s="1" t="s">
        <v>2</v>
      </c>
      <c r="AL33" s="1" t="s">
        <v>3</v>
      </c>
      <c r="AM33" s="1" t="s">
        <v>3</v>
      </c>
      <c r="AN33" s="1" t="s">
        <v>2</v>
      </c>
      <c r="AO33" s="1" t="s">
        <v>2</v>
      </c>
      <c r="AP33" s="1" t="s">
        <v>2</v>
      </c>
      <c r="AQ33" s="1" t="s">
        <v>2</v>
      </c>
      <c r="AR33" s="1" t="s">
        <v>2</v>
      </c>
      <c r="AS33" s="1" t="s">
        <v>2</v>
      </c>
      <c r="AT33" s="1" t="s">
        <v>3</v>
      </c>
      <c r="AU33" s="1" t="s">
        <v>2</v>
      </c>
      <c r="AV33" s="1" t="s">
        <v>2</v>
      </c>
      <c r="AW33" s="1" t="s">
        <v>2</v>
      </c>
      <c r="AX33" s="1" t="s">
        <v>2</v>
      </c>
      <c r="AY33" s="1" t="s">
        <v>2</v>
      </c>
      <c r="AZ33" s="1" t="s">
        <v>2</v>
      </c>
      <c r="BA33">
        <f>IF(V33="YES",1,0)</f>
        <v>0</v>
      </c>
      <c r="BB33">
        <f>IF(AT33="YES",1,0)</f>
        <v>1</v>
      </c>
      <c r="BC33">
        <f>MAX(BA33,BB33)*B33</f>
        <v>5</v>
      </c>
    </row>
    <row r="34" spans="1:55" x14ac:dyDescent="0.35">
      <c r="A34" s="2">
        <v>52</v>
      </c>
      <c r="B34" s="3">
        <f>COUNTIF(C34:AZ34,"YES")</f>
        <v>4</v>
      </c>
      <c r="C34" s="1" t="s">
        <v>2</v>
      </c>
      <c r="D34" s="1" t="s">
        <v>2</v>
      </c>
      <c r="E34" s="1" t="s">
        <v>2</v>
      </c>
      <c r="F34" s="1" t="s">
        <v>2</v>
      </c>
      <c r="G34" s="1" t="s">
        <v>2</v>
      </c>
      <c r="H34" s="1" t="s">
        <v>2</v>
      </c>
      <c r="I34" s="1" t="s">
        <v>3</v>
      </c>
      <c r="J34" s="1" t="s">
        <v>2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s="1" t="s">
        <v>3</v>
      </c>
      <c r="S34" s="1" t="s">
        <v>2</v>
      </c>
      <c r="T34" s="1" t="s">
        <v>2</v>
      </c>
      <c r="U34" s="1" t="s">
        <v>2</v>
      </c>
      <c r="V34" s="1" t="s">
        <v>2</v>
      </c>
      <c r="W34" s="1" t="s">
        <v>2</v>
      </c>
      <c r="X34" s="1" t="s">
        <v>2</v>
      </c>
      <c r="Y34" s="1" t="s">
        <v>2</v>
      </c>
      <c r="Z34" s="1" t="s">
        <v>2</v>
      </c>
      <c r="AA34" s="1" t="s">
        <v>2</v>
      </c>
      <c r="AB34" s="1" t="s">
        <v>2</v>
      </c>
      <c r="AC34" s="1" t="s">
        <v>2</v>
      </c>
      <c r="AD34" s="1" t="s">
        <v>2</v>
      </c>
      <c r="AE34" s="1" t="s">
        <v>2</v>
      </c>
      <c r="AF34" s="1" t="s">
        <v>3</v>
      </c>
      <c r="AG34" s="1" t="s">
        <v>2</v>
      </c>
      <c r="AH34" s="1" t="s">
        <v>2</v>
      </c>
      <c r="AI34" s="1" t="s">
        <v>2</v>
      </c>
      <c r="AJ34" s="1" t="s">
        <v>2</v>
      </c>
      <c r="AK34" s="1" t="s">
        <v>2</v>
      </c>
      <c r="AL34" s="1" t="s">
        <v>2</v>
      </c>
      <c r="AM34" s="1" t="s">
        <v>2</v>
      </c>
      <c r="AN34" s="1" t="s">
        <v>2</v>
      </c>
      <c r="AO34" s="1" t="s">
        <v>2</v>
      </c>
      <c r="AP34" s="1" t="s">
        <v>2</v>
      </c>
      <c r="AQ34" s="1" t="s">
        <v>2</v>
      </c>
      <c r="AR34" s="1" t="s">
        <v>2</v>
      </c>
      <c r="AS34" s="1" t="s">
        <v>2</v>
      </c>
      <c r="AT34" s="1" t="s">
        <v>3</v>
      </c>
      <c r="AU34" s="1" t="s">
        <v>2</v>
      </c>
      <c r="AV34" s="1" t="s">
        <v>2</v>
      </c>
      <c r="AW34" s="1" t="s">
        <v>2</v>
      </c>
      <c r="AX34" s="1" t="s">
        <v>2</v>
      </c>
      <c r="AY34" s="1" t="s">
        <v>2</v>
      </c>
      <c r="AZ34" s="1" t="s">
        <v>2</v>
      </c>
      <c r="BA34">
        <f>IF(V34="YES",1,0)</f>
        <v>0</v>
      </c>
      <c r="BB34">
        <f>IF(AT34="YES",1,0)</f>
        <v>1</v>
      </c>
      <c r="BC34">
        <f>MAX(BA34,BB34)*B34</f>
        <v>4</v>
      </c>
    </row>
    <row r="35" spans="1:55" x14ac:dyDescent="0.35">
      <c r="A35" s="2">
        <v>18</v>
      </c>
      <c r="B35" s="3">
        <f>COUNTIF(C35:AZ35,"YES")</f>
        <v>3</v>
      </c>
      <c r="C35" s="1" t="s">
        <v>2</v>
      </c>
      <c r="D35" s="1" t="s">
        <v>2</v>
      </c>
      <c r="E35" s="1" t="s">
        <v>2</v>
      </c>
      <c r="F35" s="1" t="s">
        <v>2</v>
      </c>
      <c r="G35" s="1" t="s">
        <v>2</v>
      </c>
      <c r="H35" s="1" t="s">
        <v>2</v>
      </c>
      <c r="I35" s="1" t="s">
        <v>3</v>
      </c>
      <c r="J35" s="1" t="s">
        <v>2</v>
      </c>
      <c r="K35" s="1" t="s">
        <v>2</v>
      </c>
      <c r="L35" s="1" t="s">
        <v>2</v>
      </c>
      <c r="M35" s="1" t="s">
        <v>2</v>
      </c>
      <c r="N35" s="1" t="s">
        <v>2</v>
      </c>
      <c r="O35" s="1" t="s">
        <v>2</v>
      </c>
      <c r="P35" s="1" t="s">
        <v>2</v>
      </c>
      <c r="Q35" s="1" t="s">
        <v>2</v>
      </c>
      <c r="R35" s="1" t="s">
        <v>2</v>
      </c>
      <c r="S35" s="1" t="s">
        <v>2</v>
      </c>
      <c r="T35" s="1" t="s">
        <v>2</v>
      </c>
      <c r="U35" s="1" t="s">
        <v>2</v>
      </c>
      <c r="V35" s="1" t="s">
        <v>2</v>
      </c>
      <c r="W35" s="1" t="s">
        <v>2</v>
      </c>
      <c r="X35" s="1" t="s">
        <v>2</v>
      </c>
      <c r="Y35" s="1" t="s">
        <v>2</v>
      </c>
      <c r="Z35" s="1" t="s">
        <v>2</v>
      </c>
      <c r="AA35" s="1" t="s">
        <v>2</v>
      </c>
      <c r="AB35" s="1" t="s">
        <v>2</v>
      </c>
      <c r="AC35" s="1" t="s">
        <v>2</v>
      </c>
      <c r="AD35" s="1" t="s">
        <v>2</v>
      </c>
      <c r="AE35" s="1" t="s">
        <v>2</v>
      </c>
      <c r="AF35" s="1" t="s">
        <v>3</v>
      </c>
      <c r="AG35" s="1" t="s">
        <v>2</v>
      </c>
      <c r="AH35" s="1" t="s">
        <v>2</v>
      </c>
      <c r="AI35" s="1" t="s">
        <v>2</v>
      </c>
      <c r="AJ35" s="1" t="s">
        <v>2</v>
      </c>
      <c r="AK35" s="1" t="s">
        <v>2</v>
      </c>
      <c r="AL35" s="1" t="s">
        <v>2</v>
      </c>
      <c r="AM35" s="1" t="s">
        <v>2</v>
      </c>
      <c r="AN35" s="1" t="s">
        <v>2</v>
      </c>
      <c r="AO35" s="1" t="s">
        <v>2</v>
      </c>
      <c r="AP35" s="1" t="s">
        <v>2</v>
      </c>
      <c r="AQ35" s="1" t="s">
        <v>2</v>
      </c>
      <c r="AR35" s="1" t="s">
        <v>2</v>
      </c>
      <c r="AS35" s="1" t="s">
        <v>2</v>
      </c>
      <c r="AT35" s="1" t="s">
        <v>3</v>
      </c>
      <c r="AU35" s="1" t="s">
        <v>2</v>
      </c>
      <c r="AV35" s="1" t="s">
        <v>2</v>
      </c>
      <c r="AW35" s="1" t="s">
        <v>2</v>
      </c>
      <c r="AX35" s="1" t="s">
        <v>2</v>
      </c>
      <c r="AY35" s="1" t="s">
        <v>2</v>
      </c>
      <c r="AZ35" s="1" t="s">
        <v>2</v>
      </c>
      <c r="BA35">
        <f>IF(V35="YES",1,0)</f>
        <v>0</v>
      </c>
      <c r="BB35">
        <f>IF(AT35="YES",1,0)</f>
        <v>1</v>
      </c>
      <c r="BC35">
        <f>MAX(BA35,BB35)*B35</f>
        <v>3</v>
      </c>
    </row>
    <row r="36" spans="1:55" x14ac:dyDescent="0.35">
      <c r="A36" s="2">
        <v>32</v>
      </c>
      <c r="B36" s="3">
        <f>COUNTIF(C36:AZ36,"YES")</f>
        <v>2</v>
      </c>
      <c r="C36" s="1" t="s">
        <v>2</v>
      </c>
      <c r="D36" s="1" t="s">
        <v>2</v>
      </c>
      <c r="E36" s="1" t="s">
        <v>3</v>
      </c>
      <c r="F36" s="1" t="s">
        <v>2</v>
      </c>
      <c r="G36" s="1" t="s">
        <v>2</v>
      </c>
      <c r="H36" s="1" t="s">
        <v>2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2</v>
      </c>
      <c r="U36" s="1" t="s">
        <v>2</v>
      </c>
      <c r="V36" s="1" t="s">
        <v>3</v>
      </c>
      <c r="W36" s="1" t="s">
        <v>2</v>
      </c>
      <c r="X36" s="1" t="s">
        <v>2</v>
      </c>
      <c r="Y36" s="1" t="s">
        <v>2</v>
      </c>
      <c r="Z36" s="1" t="s">
        <v>2</v>
      </c>
      <c r="AA36" s="1" t="s">
        <v>2</v>
      </c>
      <c r="AB36" s="1" t="s">
        <v>2</v>
      </c>
      <c r="AC36" s="1" t="s">
        <v>2</v>
      </c>
      <c r="AD36" s="1" t="s">
        <v>2</v>
      </c>
      <c r="AE36" s="1" t="s">
        <v>2</v>
      </c>
      <c r="AF36" s="1" t="s">
        <v>2</v>
      </c>
      <c r="AG36" s="1" t="s">
        <v>2</v>
      </c>
      <c r="AH36" s="1" t="s">
        <v>2</v>
      </c>
      <c r="AI36" s="1" t="s">
        <v>2</v>
      </c>
      <c r="AJ36" s="1" t="s">
        <v>2</v>
      </c>
      <c r="AK36" s="1" t="s">
        <v>2</v>
      </c>
      <c r="AL36" s="1" t="s">
        <v>2</v>
      </c>
      <c r="AM36" s="1" t="s">
        <v>2</v>
      </c>
      <c r="AN36" s="1" t="s">
        <v>2</v>
      </c>
      <c r="AO36" s="1" t="s">
        <v>2</v>
      </c>
      <c r="AP36" s="1" t="s">
        <v>2</v>
      </c>
      <c r="AQ36" s="1" t="s">
        <v>2</v>
      </c>
      <c r="AR36" s="1" t="s">
        <v>2</v>
      </c>
      <c r="AS36" s="1" t="s">
        <v>2</v>
      </c>
      <c r="AT36" s="1" t="s">
        <v>2</v>
      </c>
      <c r="AU36" s="1" t="s">
        <v>2</v>
      </c>
      <c r="AV36" s="1" t="s">
        <v>2</v>
      </c>
      <c r="AW36" s="1" t="s">
        <v>2</v>
      </c>
      <c r="AX36" s="1" t="s">
        <v>2</v>
      </c>
      <c r="AY36" s="1" t="s">
        <v>2</v>
      </c>
      <c r="AZ36" s="1" t="s">
        <v>2</v>
      </c>
      <c r="BA36">
        <f>IF(V36="YES",1,0)</f>
        <v>1</v>
      </c>
      <c r="BB36">
        <f>IF(AT36="YES",1,0)</f>
        <v>0</v>
      </c>
      <c r="BC36">
        <f>MAX(BA36,BB36)*B36</f>
        <v>2</v>
      </c>
    </row>
    <row r="37" spans="1:55" x14ac:dyDescent="0.35">
      <c r="A37" s="2">
        <v>1</v>
      </c>
      <c r="B37" s="3">
        <f>COUNTIF(C37:AZ37,"YES")</f>
        <v>10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3</v>
      </c>
      <c r="H37" s="1" t="s">
        <v>2</v>
      </c>
      <c r="I37" s="1" t="s">
        <v>2</v>
      </c>
      <c r="J37" s="1" t="s">
        <v>3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3</v>
      </c>
      <c r="Q37" s="1" t="s">
        <v>2</v>
      </c>
      <c r="R37" s="1" t="s">
        <v>2</v>
      </c>
      <c r="S37" s="1" t="s">
        <v>3</v>
      </c>
      <c r="T37" s="1" t="s">
        <v>2</v>
      </c>
      <c r="U37" s="1" t="s">
        <v>3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3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3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  <c r="AK37" s="1" t="s">
        <v>2</v>
      </c>
      <c r="AL37" s="1" t="s">
        <v>2</v>
      </c>
      <c r="AM37" s="1" t="s">
        <v>3</v>
      </c>
      <c r="AN37" s="1" t="s">
        <v>2</v>
      </c>
      <c r="AO37" s="1" t="s">
        <v>2</v>
      </c>
      <c r="AP37" s="1" t="s">
        <v>2</v>
      </c>
      <c r="AQ37" s="1" t="s">
        <v>2</v>
      </c>
      <c r="AR37" s="1" t="s">
        <v>2</v>
      </c>
      <c r="AS37" s="1" t="s">
        <v>2</v>
      </c>
      <c r="AT37" s="1" t="s">
        <v>2</v>
      </c>
      <c r="AU37" s="1" t="s">
        <v>3</v>
      </c>
      <c r="AV37" s="1" t="s">
        <v>2</v>
      </c>
      <c r="AW37" s="1" t="s">
        <v>2</v>
      </c>
      <c r="AX37" s="1" t="s">
        <v>2</v>
      </c>
      <c r="AY37" s="1" t="s">
        <v>3</v>
      </c>
      <c r="AZ37" s="1" t="s">
        <v>2</v>
      </c>
      <c r="BA37">
        <f>IF(V37="YES",1,0)</f>
        <v>0</v>
      </c>
      <c r="BB37">
        <f>IF(AT37="YES",1,0)</f>
        <v>0</v>
      </c>
      <c r="BC37">
        <f>MAX(BA37,BB37)*B37</f>
        <v>0</v>
      </c>
    </row>
    <row r="38" spans="1:55" x14ac:dyDescent="0.35">
      <c r="A38" s="2">
        <v>3</v>
      </c>
      <c r="B38" s="3">
        <f>COUNTIF(C38:AZ38,"YES")</f>
        <v>7</v>
      </c>
      <c r="C38" s="1" t="s">
        <v>2</v>
      </c>
      <c r="D38" s="1" t="s">
        <v>2</v>
      </c>
      <c r="E38" s="1" t="s">
        <v>2</v>
      </c>
      <c r="F38" s="1" t="s">
        <v>3</v>
      </c>
      <c r="G38" s="1" t="s">
        <v>2</v>
      </c>
      <c r="H38" s="1" t="s">
        <v>3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3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3</v>
      </c>
      <c r="Y38" s="1" t="s">
        <v>2</v>
      </c>
      <c r="Z38" s="1" t="s">
        <v>2</v>
      </c>
      <c r="AA38" s="1" t="s">
        <v>2</v>
      </c>
      <c r="AB38" s="1" t="s">
        <v>3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3</v>
      </c>
      <c r="AI38" s="1" t="s">
        <v>2</v>
      </c>
      <c r="AJ38" s="1" t="s">
        <v>2</v>
      </c>
      <c r="AK38" s="1" t="s">
        <v>3</v>
      </c>
      <c r="AL38" s="1" t="s">
        <v>2</v>
      </c>
      <c r="AM38" s="1" t="s">
        <v>2</v>
      </c>
      <c r="AN38" s="1" t="s">
        <v>2</v>
      </c>
      <c r="AO38" s="1" t="s">
        <v>2</v>
      </c>
      <c r="AP38" s="1" t="s">
        <v>2</v>
      </c>
      <c r="AQ38" s="1" t="s">
        <v>2</v>
      </c>
      <c r="AR38" s="1" t="s">
        <v>2</v>
      </c>
      <c r="AS38" s="1" t="s">
        <v>2</v>
      </c>
      <c r="AT38" s="1" t="s">
        <v>2</v>
      </c>
      <c r="AU38" s="1" t="s">
        <v>2</v>
      </c>
      <c r="AV38" s="1" t="s">
        <v>2</v>
      </c>
      <c r="AW38" s="1" t="s">
        <v>2</v>
      </c>
      <c r="AX38" s="1" t="s">
        <v>2</v>
      </c>
      <c r="AY38" s="1" t="s">
        <v>2</v>
      </c>
      <c r="AZ38" s="1" t="s">
        <v>2</v>
      </c>
      <c r="BA38">
        <f>IF(V38="YES",1,0)</f>
        <v>0</v>
      </c>
      <c r="BB38">
        <f>IF(AT38="YES",1,0)</f>
        <v>0</v>
      </c>
      <c r="BC38">
        <f>MAX(BA38,BB38)*B38</f>
        <v>0</v>
      </c>
    </row>
    <row r="39" spans="1:55" x14ac:dyDescent="0.35">
      <c r="A39" s="2">
        <v>4</v>
      </c>
      <c r="B39" s="3">
        <f>COUNTIF(C39:AZ39,"YES")</f>
        <v>5</v>
      </c>
      <c r="C39" s="1" t="s">
        <v>3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3</v>
      </c>
      <c r="M39" s="1" t="s">
        <v>2</v>
      </c>
      <c r="N39" s="1" t="s">
        <v>3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3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3</v>
      </c>
      <c r="AH39" s="1" t="s">
        <v>2</v>
      </c>
      <c r="AI39" s="1" t="s">
        <v>2</v>
      </c>
      <c r="AJ39" s="1" t="s">
        <v>2</v>
      </c>
      <c r="AK39" s="1" t="s">
        <v>2</v>
      </c>
      <c r="AL39" s="1" t="s">
        <v>2</v>
      </c>
      <c r="AM39" s="1" t="s">
        <v>2</v>
      </c>
      <c r="AN39" s="1" t="s">
        <v>2</v>
      </c>
      <c r="AO39" s="1" t="s">
        <v>2</v>
      </c>
      <c r="AP39" s="1" t="s">
        <v>2</v>
      </c>
      <c r="AQ39" s="1" t="s">
        <v>2</v>
      </c>
      <c r="AR39" s="1" t="s">
        <v>2</v>
      </c>
      <c r="AS39" s="1" t="s">
        <v>2</v>
      </c>
      <c r="AT39" s="1" t="s">
        <v>2</v>
      </c>
      <c r="AU39" s="1" t="s">
        <v>2</v>
      </c>
      <c r="AV39" s="1" t="s">
        <v>2</v>
      </c>
      <c r="AW39" s="1" t="s">
        <v>2</v>
      </c>
      <c r="AX39" s="1" t="s">
        <v>2</v>
      </c>
      <c r="AY39" s="1" t="s">
        <v>2</v>
      </c>
      <c r="AZ39" s="1" t="s">
        <v>2</v>
      </c>
      <c r="BA39">
        <f>IF(V39="YES",1,0)</f>
        <v>0</v>
      </c>
      <c r="BB39">
        <f>IF(AT39="YES",1,0)</f>
        <v>0</v>
      </c>
      <c r="BC39">
        <f>MAX(BA39,BB39)*B39</f>
        <v>0</v>
      </c>
    </row>
    <row r="40" spans="1:55" x14ac:dyDescent="0.35">
      <c r="A40" s="2">
        <v>6</v>
      </c>
      <c r="B40" s="3">
        <f>COUNTIF(C40:AZ40,"YES")</f>
        <v>7</v>
      </c>
      <c r="C40" s="1" t="s">
        <v>2</v>
      </c>
      <c r="D40" s="1" t="s">
        <v>3</v>
      </c>
      <c r="E40" s="1" t="s">
        <v>2</v>
      </c>
      <c r="F40" s="1" t="s">
        <v>2</v>
      </c>
      <c r="G40" s="1" t="s">
        <v>2</v>
      </c>
      <c r="H40" s="1" t="s">
        <v>3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3</v>
      </c>
      <c r="N40" s="1" t="s">
        <v>2</v>
      </c>
      <c r="O40" s="1" t="s">
        <v>2</v>
      </c>
      <c r="P40" s="1" t="s">
        <v>2</v>
      </c>
      <c r="Q40" s="1" t="s">
        <v>3</v>
      </c>
      <c r="R40" s="1" t="s">
        <v>3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3</v>
      </c>
      <c r="AI40" s="1" t="s">
        <v>2</v>
      </c>
      <c r="AJ40" s="1" t="s">
        <v>2</v>
      </c>
      <c r="AK40" s="1" t="s">
        <v>2</v>
      </c>
      <c r="AL40" s="1" t="s">
        <v>2</v>
      </c>
      <c r="AM40" s="1" t="s">
        <v>2</v>
      </c>
      <c r="AN40" s="1" t="s">
        <v>2</v>
      </c>
      <c r="AO40" s="1" t="s">
        <v>2</v>
      </c>
      <c r="AP40" s="1" t="s">
        <v>2</v>
      </c>
      <c r="AQ40" s="1" t="s">
        <v>2</v>
      </c>
      <c r="AR40" s="1" t="s">
        <v>2</v>
      </c>
      <c r="AS40" s="1" t="s">
        <v>2</v>
      </c>
      <c r="AT40" s="1" t="s">
        <v>2</v>
      </c>
      <c r="AU40" s="1" t="s">
        <v>2</v>
      </c>
      <c r="AV40" s="1" t="s">
        <v>3</v>
      </c>
      <c r="AW40" s="1" t="s">
        <v>2</v>
      </c>
      <c r="AX40" s="1" t="s">
        <v>2</v>
      </c>
      <c r="AY40" s="1" t="s">
        <v>2</v>
      </c>
      <c r="AZ40" s="1" t="s">
        <v>2</v>
      </c>
      <c r="BA40">
        <f>IF(V40="YES",1,0)</f>
        <v>0</v>
      </c>
      <c r="BB40">
        <f>IF(AT40="YES",1,0)</f>
        <v>0</v>
      </c>
      <c r="BC40">
        <f>MAX(BA40,BB40)*B40</f>
        <v>0</v>
      </c>
    </row>
    <row r="41" spans="1:55" x14ac:dyDescent="0.35">
      <c r="A41" s="2">
        <v>7</v>
      </c>
      <c r="B41" s="3">
        <f>COUNTIF(C41:AZ41,"YES")</f>
        <v>6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3</v>
      </c>
      <c r="Z41" s="1" t="s">
        <v>3</v>
      </c>
      <c r="AA41" s="1" t="s">
        <v>2</v>
      </c>
      <c r="AB41" s="1" t="s">
        <v>3</v>
      </c>
      <c r="AC41" s="1" t="s">
        <v>2</v>
      </c>
      <c r="AD41" s="1" t="s">
        <v>2</v>
      </c>
      <c r="AE41" s="1" t="s">
        <v>3</v>
      </c>
      <c r="AF41" s="1" t="s">
        <v>2</v>
      </c>
      <c r="AG41" s="1" t="s">
        <v>3</v>
      </c>
      <c r="AH41" s="1" t="s">
        <v>2</v>
      </c>
      <c r="AI41" s="1" t="s">
        <v>2</v>
      </c>
      <c r="AJ41" s="1" t="s">
        <v>2</v>
      </c>
      <c r="AK41" s="1" t="s">
        <v>2</v>
      </c>
      <c r="AL41" s="1" t="s">
        <v>2</v>
      </c>
      <c r="AM41" s="1" t="s">
        <v>2</v>
      </c>
      <c r="AN41" s="1" t="s">
        <v>2</v>
      </c>
      <c r="AO41" s="1" t="s">
        <v>2</v>
      </c>
      <c r="AP41" s="1" t="s">
        <v>2</v>
      </c>
      <c r="AQ41" s="1" t="s">
        <v>2</v>
      </c>
      <c r="AR41" s="1" t="s">
        <v>2</v>
      </c>
      <c r="AS41" s="1" t="s">
        <v>2</v>
      </c>
      <c r="AT41" s="1" t="s">
        <v>2</v>
      </c>
      <c r="AU41" s="1" t="s">
        <v>2</v>
      </c>
      <c r="AV41" s="1" t="s">
        <v>2</v>
      </c>
      <c r="AW41" s="1" t="s">
        <v>2</v>
      </c>
      <c r="AX41" s="1" t="s">
        <v>2</v>
      </c>
      <c r="AY41" s="1" t="s">
        <v>3</v>
      </c>
      <c r="AZ41" s="1" t="s">
        <v>2</v>
      </c>
      <c r="BA41">
        <f>IF(V41="YES",1,0)</f>
        <v>0</v>
      </c>
      <c r="BB41">
        <f>IF(AT41="YES",1,0)</f>
        <v>0</v>
      </c>
      <c r="BC41">
        <f>MAX(BA41,BB41)*B41</f>
        <v>0</v>
      </c>
    </row>
    <row r="42" spans="1:55" x14ac:dyDescent="0.35">
      <c r="A42" s="2">
        <v>10</v>
      </c>
      <c r="B42" s="3">
        <f>COUNTIF(C42:AZ42,"YES")</f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3</v>
      </c>
      <c r="AK42" s="1" t="s">
        <v>2</v>
      </c>
      <c r="AL42" s="1" t="s">
        <v>2</v>
      </c>
      <c r="AM42" s="1" t="s">
        <v>2</v>
      </c>
      <c r="AN42" s="1" t="s">
        <v>2</v>
      </c>
      <c r="AO42" s="1" t="s">
        <v>2</v>
      </c>
      <c r="AP42" s="1" t="s">
        <v>2</v>
      </c>
      <c r="AQ42" s="1" t="s">
        <v>2</v>
      </c>
      <c r="AR42" s="1" t="s">
        <v>2</v>
      </c>
      <c r="AS42" s="1" t="s">
        <v>3</v>
      </c>
      <c r="AT42" s="1" t="s">
        <v>2</v>
      </c>
      <c r="AU42" s="1" t="s">
        <v>2</v>
      </c>
      <c r="AV42" s="1" t="s">
        <v>2</v>
      </c>
      <c r="AW42" s="1" t="s">
        <v>2</v>
      </c>
      <c r="AX42" s="1" t="s">
        <v>2</v>
      </c>
      <c r="AY42" s="1" t="s">
        <v>2</v>
      </c>
      <c r="AZ42" s="1" t="s">
        <v>2</v>
      </c>
      <c r="BA42">
        <f>IF(V42="YES",1,0)</f>
        <v>0</v>
      </c>
      <c r="BB42">
        <f>IF(AT42="YES",1,0)</f>
        <v>0</v>
      </c>
      <c r="BC42">
        <f>MAX(BA42,BB42)*B42</f>
        <v>0</v>
      </c>
    </row>
    <row r="43" spans="1:55" x14ac:dyDescent="0.35">
      <c r="A43" s="2">
        <v>11</v>
      </c>
      <c r="B43" s="3">
        <f>COUNTIF(C43:AZ43,"YES")</f>
        <v>15</v>
      </c>
      <c r="C43" s="1" t="s">
        <v>3</v>
      </c>
      <c r="D43" s="1" t="s">
        <v>2</v>
      </c>
      <c r="E43" s="1" t="s">
        <v>3</v>
      </c>
      <c r="F43" s="1" t="s">
        <v>2</v>
      </c>
      <c r="G43" s="1" t="s">
        <v>2</v>
      </c>
      <c r="H43" s="1" t="s">
        <v>2</v>
      </c>
      <c r="I43" s="1" t="s">
        <v>3</v>
      </c>
      <c r="J43" s="1" t="s">
        <v>3</v>
      </c>
      <c r="K43" s="1" t="s">
        <v>2</v>
      </c>
      <c r="L43" s="1" t="s">
        <v>2</v>
      </c>
      <c r="M43" s="1" t="s">
        <v>2</v>
      </c>
      <c r="N43" s="1" t="s">
        <v>3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3</v>
      </c>
      <c r="X43" s="1" t="s">
        <v>3</v>
      </c>
      <c r="Y43" s="1" t="s">
        <v>3</v>
      </c>
      <c r="Z43" s="1" t="s">
        <v>2</v>
      </c>
      <c r="AA43" s="1" t="s">
        <v>2</v>
      </c>
      <c r="AB43" s="1" t="s">
        <v>2</v>
      </c>
      <c r="AC43" s="1" t="s">
        <v>3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3</v>
      </c>
      <c r="AK43" s="1" t="s">
        <v>2</v>
      </c>
      <c r="AL43" s="1" t="s">
        <v>2</v>
      </c>
      <c r="AM43" s="1" t="s">
        <v>3</v>
      </c>
      <c r="AN43" s="1" t="s">
        <v>2</v>
      </c>
      <c r="AO43" s="1" t="s">
        <v>3</v>
      </c>
      <c r="AP43" s="1" t="s">
        <v>2</v>
      </c>
      <c r="AQ43" s="1" t="s">
        <v>3</v>
      </c>
      <c r="AR43" s="1" t="s">
        <v>3</v>
      </c>
      <c r="AS43" s="1" t="s">
        <v>2</v>
      </c>
      <c r="AT43" s="1" t="s">
        <v>2</v>
      </c>
      <c r="AU43" s="1" t="s">
        <v>2</v>
      </c>
      <c r="AV43" s="1" t="s">
        <v>2</v>
      </c>
      <c r="AW43" s="1" t="s">
        <v>2</v>
      </c>
      <c r="AX43" s="1" t="s">
        <v>2</v>
      </c>
      <c r="AY43" s="1" t="s">
        <v>2</v>
      </c>
      <c r="AZ43" s="1" t="s">
        <v>3</v>
      </c>
      <c r="BA43">
        <f>IF(V43="YES",1,0)</f>
        <v>0</v>
      </c>
      <c r="BB43">
        <f>IF(AT43="YES",1,0)</f>
        <v>0</v>
      </c>
      <c r="BC43">
        <f>MAX(BA43,BB43)*B43</f>
        <v>0</v>
      </c>
    </row>
    <row r="44" spans="1:55" x14ac:dyDescent="0.35">
      <c r="A44" s="2">
        <v>12</v>
      </c>
      <c r="B44" s="3">
        <f>COUNTIF(C44:AZ44,"YES")</f>
        <v>6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3</v>
      </c>
      <c r="L44" s="1" t="s">
        <v>2</v>
      </c>
      <c r="M44" s="1" t="s">
        <v>2</v>
      </c>
      <c r="N44" s="1" t="s">
        <v>2</v>
      </c>
      <c r="O44" s="1" t="s">
        <v>3</v>
      </c>
      <c r="P44" s="1" t="s">
        <v>3</v>
      </c>
      <c r="Q44" s="1" t="s">
        <v>2</v>
      </c>
      <c r="R44" s="1" t="s">
        <v>2</v>
      </c>
      <c r="S44" s="1" t="s">
        <v>3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3</v>
      </c>
      <c r="AJ44" s="1" t="s">
        <v>2</v>
      </c>
      <c r="AK44" s="1" t="s">
        <v>2</v>
      </c>
      <c r="AL44" s="1" t="s">
        <v>2</v>
      </c>
      <c r="AM44" s="1" t="s">
        <v>2</v>
      </c>
      <c r="AN44" s="1" t="s">
        <v>2</v>
      </c>
      <c r="AO44" s="1" t="s">
        <v>2</v>
      </c>
      <c r="AP44" s="1" t="s">
        <v>2</v>
      </c>
      <c r="AQ44" s="1" t="s">
        <v>2</v>
      </c>
      <c r="AR44" s="1" t="s">
        <v>3</v>
      </c>
      <c r="AS44" s="1" t="s">
        <v>2</v>
      </c>
      <c r="AT44" s="1" t="s">
        <v>2</v>
      </c>
      <c r="AU44" s="1" t="s">
        <v>2</v>
      </c>
      <c r="AV44" s="1" t="s">
        <v>2</v>
      </c>
      <c r="AW44" s="1" t="s">
        <v>2</v>
      </c>
      <c r="AX44" s="1" t="s">
        <v>2</v>
      </c>
      <c r="AY44" s="1" t="s">
        <v>2</v>
      </c>
      <c r="AZ44" s="1" t="s">
        <v>2</v>
      </c>
      <c r="BA44">
        <f>IF(V44="YES",1,0)</f>
        <v>0</v>
      </c>
      <c r="BB44">
        <f>IF(AT44="YES",1,0)</f>
        <v>0</v>
      </c>
      <c r="BC44">
        <f>MAX(BA44,BB44)*B44</f>
        <v>0</v>
      </c>
    </row>
    <row r="45" spans="1:55" x14ac:dyDescent="0.35">
      <c r="A45" s="2">
        <v>14</v>
      </c>
      <c r="B45" s="3">
        <f>COUNTIF(C45:AZ45,"YES")</f>
        <v>3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3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3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  <c r="AK45" s="1" t="s">
        <v>2</v>
      </c>
      <c r="AL45" s="1" t="s">
        <v>2</v>
      </c>
      <c r="AM45" s="1" t="s">
        <v>2</v>
      </c>
      <c r="AN45" s="1" t="s">
        <v>2</v>
      </c>
      <c r="AO45" s="1" t="s">
        <v>2</v>
      </c>
      <c r="AP45" s="1" t="s">
        <v>2</v>
      </c>
      <c r="AQ45" s="1" t="s">
        <v>2</v>
      </c>
      <c r="AR45" s="1" t="s">
        <v>2</v>
      </c>
      <c r="AS45" s="1" t="s">
        <v>2</v>
      </c>
      <c r="AT45" s="1" t="s">
        <v>2</v>
      </c>
      <c r="AU45" s="1" t="s">
        <v>3</v>
      </c>
      <c r="AV45" s="1" t="s">
        <v>2</v>
      </c>
      <c r="AW45" s="1" t="s">
        <v>2</v>
      </c>
      <c r="AX45" s="1" t="s">
        <v>2</v>
      </c>
      <c r="AY45" s="1" t="s">
        <v>2</v>
      </c>
      <c r="AZ45" s="1" t="s">
        <v>2</v>
      </c>
      <c r="BA45">
        <f>IF(V45="YES",1,0)</f>
        <v>0</v>
      </c>
      <c r="BB45">
        <f>IF(AT45="YES",1,0)</f>
        <v>0</v>
      </c>
      <c r="BC45">
        <f>MAX(BA45,BB45)*B45</f>
        <v>0</v>
      </c>
    </row>
    <row r="46" spans="1:55" x14ac:dyDescent="0.35">
      <c r="A46" s="2">
        <v>15</v>
      </c>
      <c r="B46" s="3">
        <f>COUNTIF(C46:AZ46,"YES")</f>
        <v>6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3</v>
      </c>
      <c r="H46" s="1" t="s">
        <v>2</v>
      </c>
      <c r="I46" s="1" t="s">
        <v>2</v>
      </c>
      <c r="J46" s="1" t="s">
        <v>3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3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3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3</v>
      </c>
      <c r="AK46" s="1" t="s">
        <v>2</v>
      </c>
      <c r="AL46" s="1" t="s">
        <v>2</v>
      </c>
      <c r="AM46" s="1" t="s">
        <v>2</v>
      </c>
      <c r="AN46" s="1" t="s">
        <v>2</v>
      </c>
      <c r="AO46" s="1" t="s">
        <v>2</v>
      </c>
      <c r="AP46" s="1" t="s">
        <v>2</v>
      </c>
      <c r="AQ46" s="1" t="s">
        <v>2</v>
      </c>
      <c r="AR46" s="1" t="s">
        <v>2</v>
      </c>
      <c r="AS46" s="1" t="s">
        <v>3</v>
      </c>
      <c r="AT46" s="1" t="s">
        <v>2</v>
      </c>
      <c r="AU46" s="1" t="s">
        <v>2</v>
      </c>
      <c r="AV46" s="1" t="s">
        <v>2</v>
      </c>
      <c r="AW46" s="1" t="s">
        <v>2</v>
      </c>
      <c r="AX46" s="1" t="s">
        <v>2</v>
      </c>
      <c r="AY46" s="1" t="s">
        <v>2</v>
      </c>
      <c r="AZ46" s="1" t="s">
        <v>2</v>
      </c>
      <c r="BA46">
        <f>IF(V46="YES",1,0)</f>
        <v>0</v>
      </c>
      <c r="BB46">
        <f>IF(AT46="YES",1,0)</f>
        <v>0</v>
      </c>
      <c r="BC46">
        <f>MAX(BA46,BB46)*B46</f>
        <v>0</v>
      </c>
    </row>
    <row r="47" spans="1:55" x14ac:dyDescent="0.35">
      <c r="A47" s="2">
        <v>16</v>
      </c>
      <c r="B47" s="3">
        <f>COUNTIF(C47:AZ47,"YES")</f>
        <v>0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  <c r="AK47" s="1" t="s">
        <v>2</v>
      </c>
      <c r="AL47" s="1" t="s">
        <v>2</v>
      </c>
      <c r="AM47" s="1" t="s">
        <v>2</v>
      </c>
      <c r="AN47" s="1" t="s">
        <v>2</v>
      </c>
      <c r="AO47" s="1" t="s">
        <v>2</v>
      </c>
      <c r="AP47" s="1" t="s">
        <v>2</v>
      </c>
      <c r="AQ47" s="1" t="s">
        <v>2</v>
      </c>
      <c r="AR47" s="1" t="s">
        <v>2</v>
      </c>
      <c r="AS47" s="1" t="s">
        <v>2</v>
      </c>
      <c r="AT47" s="1" t="s">
        <v>2</v>
      </c>
      <c r="AU47" s="1" t="s">
        <v>2</v>
      </c>
      <c r="AV47" s="1" t="s">
        <v>2</v>
      </c>
      <c r="AW47" s="1" t="s">
        <v>2</v>
      </c>
      <c r="AX47" s="1" t="s">
        <v>2</v>
      </c>
      <c r="AY47" s="1" t="s">
        <v>2</v>
      </c>
      <c r="AZ47" s="1" t="s">
        <v>2</v>
      </c>
      <c r="BA47">
        <f>IF(V47="YES",1,0)</f>
        <v>0</v>
      </c>
      <c r="BB47">
        <f>IF(AT47="YES",1,0)</f>
        <v>0</v>
      </c>
      <c r="BC47">
        <f>MAX(BA47,BB47)*B47</f>
        <v>0</v>
      </c>
    </row>
    <row r="48" spans="1:55" x14ac:dyDescent="0.35">
      <c r="A48" s="2">
        <v>17</v>
      </c>
      <c r="B48" s="3">
        <f>COUNTIF(C48:AZ48,"YES")</f>
        <v>9</v>
      </c>
      <c r="C48" s="1" t="s">
        <v>3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3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3</v>
      </c>
      <c r="O48" s="1" t="s">
        <v>2</v>
      </c>
      <c r="P48" s="1" t="s">
        <v>3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3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3</v>
      </c>
      <c r="AH48" s="1" t="s">
        <v>2</v>
      </c>
      <c r="AI48" s="1" t="s">
        <v>2</v>
      </c>
      <c r="AJ48" s="1" t="s">
        <v>2</v>
      </c>
      <c r="AK48" s="1" t="s">
        <v>2</v>
      </c>
      <c r="AL48" s="1" t="s">
        <v>2</v>
      </c>
      <c r="AM48" s="1" t="s">
        <v>2</v>
      </c>
      <c r="AN48" s="1" t="s">
        <v>3</v>
      </c>
      <c r="AO48" s="1" t="s">
        <v>2</v>
      </c>
      <c r="AP48" s="1" t="s">
        <v>3</v>
      </c>
      <c r="AQ48" s="1" t="s">
        <v>2</v>
      </c>
      <c r="AR48" s="1" t="s">
        <v>2</v>
      </c>
      <c r="AS48" s="1" t="s">
        <v>2</v>
      </c>
      <c r="AT48" s="1" t="s">
        <v>2</v>
      </c>
      <c r="AU48" s="1" t="s">
        <v>2</v>
      </c>
      <c r="AV48" s="1" t="s">
        <v>2</v>
      </c>
      <c r="AW48" s="1" t="s">
        <v>3</v>
      </c>
      <c r="AX48" s="1" t="s">
        <v>2</v>
      </c>
      <c r="AY48" s="1" t="s">
        <v>2</v>
      </c>
      <c r="AZ48" s="1" t="s">
        <v>2</v>
      </c>
      <c r="BA48">
        <f>IF(V48="YES",1,0)</f>
        <v>0</v>
      </c>
      <c r="BB48">
        <f>IF(AT48="YES",1,0)</f>
        <v>0</v>
      </c>
      <c r="BC48">
        <f>MAX(BA48,BB48)*B48</f>
        <v>0</v>
      </c>
    </row>
    <row r="49" spans="1:55" x14ac:dyDescent="0.35">
      <c r="A49" s="2">
        <v>20</v>
      </c>
      <c r="B49" s="3">
        <f>COUNTIF(C49:AZ49,"YES")</f>
        <v>3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3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3</v>
      </c>
      <c r="Z49" s="1" t="s">
        <v>2</v>
      </c>
      <c r="AA49" s="1" t="s">
        <v>3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  <c r="AK49" s="1" t="s">
        <v>2</v>
      </c>
      <c r="AL49" s="1" t="s">
        <v>2</v>
      </c>
      <c r="AM49" s="1" t="s">
        <v>2</v>
      </c>
      <c r="AN49" s="1" t="s">
        <v>2</v>
      </c>
      <c r="AO49" s="1" t="s">
        <v>2</v>
      </c>
      <c r="AP49" s="1" t="s">
        <v>2</v>
      </c>
      <c r="AQ49" s="1" t="s">
        <v>2</v>
      </c>
      <c r="AR49" s="1" t="s">
        <v>2</v>
      </c>
      <c r="AS49" s="1" t="s">
        <v>2</v>
      </c>
      <c r="AT49" s="1" t="s">
        <v>2</v>
      </c>
      <c r="AU49" s="1" t="s">
        <v>2</v>
      </c>
      <c r="AV49" s="1" t="s">
        <v>2</v>
      </c>
      <c r="AW49" s="1" t="s">
        <v>2</v>
      </c>
      <c r="AX49" s="1" t="s">
        <v>2</v>
      </c>
      <c r="AY49" s="1" t="s">
        <v>2</v>
      </c>
      <c r="AZ49" s="1" t="s">
        <v>2</v>
      </c>
      <c r="BA49">
        <f>IF(V49="YES",1,0)</f>
        <v>0</v>
      </c>
      <c r="BB49">
        <f>IF(AT49="YES",1,0)</f>
        <v>0</v>
      </c>
      <c r="BC49">
        <f>MAX(BA49,BB49)*B49</f>
        <v>0</v>
      </c>
    </row>
    <row r="50" spans="1:55" x14ac:dyDescent="0.35">
      <c r="A50" s="2">
        <v>24</v>
      </c>
      <c r="B50" s="3">
        <f>COUNTIF(C50:AZ50,"YES")</f>
        <v>7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3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3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3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3</v>
      </c>
      <c r="AI50" s="1" t="s">
        <v>2</v>
      </c>
      <c r="AJ50" s="1" t="s">
        <v>2</v>
      </c>
      <c r="AK50" s="1" t="s">
        <v>3</v>
      </c>
      <c r="AL50" s="1" t="s">
        <v>2</v>
      </c>
      <c r="AM50" s="1" t="s">
        <v>2</v>
      </c>
      <c r="AN50" s="1" t="s">
        <v>2</v>
      </c>
      <c r="AO50" s="1" t="s">
        <v>3</v>
      </c>
      <c r="AP50" s="1" t="s">
        <v>2</v>
      </c>
      <c r="AQ50" s="1" t="s">
        <v>2</v>
      </c>
      <c r="AR50" s="1" t="s">
        <v>2</v>
      </c>
      <c r="AS50" s="1" t="s">
        <v>2</v>
      </c>
      <c r="AT50" s="1" t="s">
        <v>2</v>
      </c>
      <c r="AU50" s="1" t="s">
        <v>2</v>
      </c>
      <c r="AV50" s="1" t="s">
        <v>3</v>
      </c>
      <c r="AW50" s="1" t="s">
        <v>2</v>
      </c>
      <c r="AX50" s="1" t="s">
        <v>2</v>
      </c>
      <c r="AY50" s="1" t="s">
        <v>2</v>
      </c>
      <c r="AZ50" s="1" t="s">
        <v>2</v>
      </c>
      <c r="BA50">
        <f>IF(V50="YES",1,0)</f>
        <v>0</v>
      </c>
      <c r="BB50">
        <f>IF(AT50="YES",1,0)</f>
        <v>0</v>
      </c>
      <c r="BC50">
        <f>MAX(BA50,BB50)*B50</f>
        <v>0</v>
      </c>
    </row>
    <row r="51" spans="1:55" x14ac:dyDescent="0.35">
      <c r="A51" s="2">
        <v>25</v>
      </c>
      <c r="B51" s="3">
        <f>COUNTIF(C51:AZ51,"YES")</f>
        <v>7</v>
      </c>
      <c r="C51" s="1" t="s">
        <v>3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3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3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3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  <c r="AK51" s="1" t="s">
        <v>2</v>
      </c>
      <c r="AL51" s="1" t="s">
        <v>2</v>
      </c>
      <c r="AM51" s="1" t="s">
        <v>2</v>
      </c>
      <c r="AN51" s="1" t="s">
        <v>3</v>
      </c>
      <c r="AO51" s="1" t="s">
        <v>2</v>
      </c>
      <c r="AP51" s="1" t="s">
        <v>3</v>
      </c>
      <c r="AQ51" s="1" t="s">
        <v>2</v>
      </c>
      <c r="AR51" s="1" t="s">
        <v>2</v>
      </c>
      <c r="AS51" s="1" t="s">
        <v>2</v>
      </c>
      <c r="AT51" s="1" t="s">
        <v>2</v>
      </c>
      <c r="AU51" s="1" t="s">
        <v>2</v>
      </c>
      <c r="AV51" s="1" t="s">
        <v>2</v>
      </c>
      <c r="AW51" s="1" t="s">
        <v>3</v>
      </c>
      <c r="AX51" s="1" t="s">
        <v>2</v>
      </c>
      <c r="AY51" s="1" t="s">
        <v>2</v>
      </c>
      <c r="AZ51" s="1" t="s">
        <v>2</v>
      </c>
      <c r="BA51">
        <f>IF(V51="YES",1,0)</f>
        <v>0</v>
      </c>
      <c r="BB51">
        <f>IF(AT51="YES",1,0)</f>
        <v>0</v>
      </c>
      <c r="BC51">
        <f>MAX(BA51,BB51)*B51</f>
        <v>0</v>
      </c>
    </row>
    <row r="52" spans="1:55" x14ac:dyDescent="0.35">
      <c r="A52" s="2">
        <v>26</v>
      </c>
      <c r="B52" s="3">
        <f>COUNTIF(C52:AZ52,"YES")</f>
        <v>6</v>
      </c>
      <c r="C52" s="1" t="s">
        <v>3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3</v>
      </c>
      <c r="M52" s="1" t="s">
        <v>2</v>
      </c>
      <c r="N52" s="1" t="s">
        <v>3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3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3</v>
      </c>
      <c r="AH52" s="1" t="s">
        <v>2</v>
      </c>
      <c r="AI52" s="1" t="s">
        <v>2</v>
      </c>
      <c r="AJ52" s="1" t="s">
        <v>2</v>
      </c>
      <c r="AK52" s="1" t="s">
        <v>2</v>
      </c>
      <c r="AL52" s="1" t="s">
        <v>2</v>
      </c>
      <c r="AM52" s="1" t="s">
        <v>2</v>
      </c>
      <c r="AN52" s="1" t="s">
        <v>2</v>
      </c>
      <c r="AO52" s="1" t="s">
        <v>2</v>
      </c>
      <c r="AP52" s="1" t="s">
        <v>2</v>
      </c>
      <c r="AQ52" s="1" t="s">
        <v>2</v>
      </c>
      <c r="AR52" s="1" t="s">
        <v>2</v>
      </c>
      <c r="AS52" s="1" t="s">
        <v>2</v>
      </c>
      <c r="AT52" s="1" t="s">
        <v>2</v>
      </c>
      <c r="AU52" s="1" t="s">
        <v>2</v>
      </c>
      <c r="AV52" s="1" t="s">
        <v>3</v>
      </c>
      <c r="AW52" s="1" t="s">
        <v>2</v>
      </c>
      <c r="AX52" s="1" t="s">
        <v>2</v>
      </c>
      <c r="AY52" s="1" t="s">
        <v>2</v>
      </c>
      <c r="AZ52" s="1" t="s">
        <v>2</v>
      </c>
      <c r="BA52">
        <f>IF(V52="YES",1,0)</f>
        <v>0</v>
      </c>
      <c r="BB52">
        <f>IF(AT52="YES",1,0)</f>
        <v>0</v>
      </c>
      <c r="BC52">
        <f>MAX(BA52,BB52)*B52</f>
        <v>0</v>
      </c>
    </row>
    <row r="53" spans="1:55" x14ac:dyDescent="0.35">
      <c r="A53" s="2">
        <v>28</v>
      </c>
      <c r="B53" s="3">
        <f>COUNTIF(C53:AZ53,"YES")</f>
        <v>4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3</v>
      </c>
      <c r="I53" s="1" t="s">
        <v>2</v>
      </c>
      <c r="J53" s="1" t="s">
        <v>2</v>
      </c>
      <c r="K53" s="1" t="s">
        <v>2</v>
      </c>
      <c r="L53" s="1" t="s">
        <v>3</v>
      </c>
      <c r="M53" s="1" t="s">
        <v>2</v>
      </c>
      <c r="N53" s="1" t="s">
        <v>2</v>
      </c>
      <c r="O53" s="1" t="s">
        <v>2</v>
      </c>
      <c r="P53" s="1" t="s">
        <v>3</v>
      </c>
      <c r="Q53" s="1" t="s">
        <v>2</v>
      </c>
      <c r="R53" s="1" t="s">
        <v>2</v>
      </c>
      <c r="S53" s="1" t="s">
        <v>3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  <c r="AK53" s="1" t="s">
        <v>2</v>
      </c>
      <c r="AL53" s="1" t="s">
        <v>2</v>
      </c>
      <c r="AM53" s="1" t="s">
        <v>2</v>
      </c>
      <c r="AN53" s="1" t="s">
        <v>2</v>
      </c>
      <c r="AO53" s="1" t="s">
        <v>2</v>
      </c>
      <c r="AP53" s="1" t="s">
        <v>2</v>
      </c>
      <c r="AQ53" s="1" t="s">
        <v>2</v>
      </c>
      <c r="AR53" s="1" t="s">
        <v>2</v>
      </c>
      <c r="AS53" s="1" t="s">
        <v>2</v>
      </c>
      <c r="AT53" s="1" t="s">
        <v>2</v>
      </c>
      <c r="AU53" s="1" t="s">
        <v>2</v>
      </c>
      <c r="AV53" s="1" t="s">
        <v>2</v>
      </c>
      <c r="AW53" s="1" t="s">
        <v>2</v>
      </c>
      <c r="AX53" s="1" t="s">
        <v>2</v>
      </c>
      <c r="AY53" s="1" t="s">
        <v>2</v>
      </c>
      <c r="AZ53" s="1" t="s">
        <v>2</v>
      </c>
      <c r="BA53">
        <f>IF(V53="YES",1,0)</f>
        <v>0</v>
      </c>
      <c r="BB53">
        <f>IF(AT53="YES",1,0)</f>
        <v>0</v>
      </c>
      <c r="BC53">
        <f>MAX(BA53,BB53)*B53</f>
        <v>0</v>
      </c>
    </row>
    <row r="54" spans="1:55" x14ac:dyDescent="0.35">
      <c r="A54" s="2">
        <v>29</v>
      </c>
      <c r="B54" s="3">
        <f>COUNTIF(C54:AZ54,"YES")</f>
        <v>7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3</v>
      </c>
      <c r="L54" s="1" t="s">
        <v>2</v>
      </c>
      <c r="M54" s="1" t="s">
        <v>2</v>
      </c>
      <c r="N54" s="1" t="s">
        <v>2</v>
      </c>
      <c r="O54" s="1" t="s">
        <v>3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 t="s">
        <v>2</v>
      </c>
      <c r="AE54" s="1" t="s">
        <v>2</v>
      </c>
      <c r="AF54" s="1" t="s">
        <v>3</v>
      </c>
      <c r="AG54" s="1" t="s">
        <v>2</v>
      </c>
      <c r="AH54" s="1" t="s">
        <v>2</v>
      </c>
      <c r="AI54" s="1" t="s">
        <v>3</v>
      </c>
      <c r="AJ54" s="1" t="s">
        <v>2</v>
      </c>
      <c r="AK54" s="1" t="s">
        <v>2</v>
      </c>
      <c r="AL54" s="1" t="s">
        <v>3</v>
      </c>
      <c r="AM54" s="1" t="s">
        <v>2</v>
      </c>
      <c r="AN54" s="1" t="s">
        <v>2</v>
      </c>
      <c r="AO54" s="1" t="s">
        <v>2</v>
      </c>
      <c r="AP54" s="1" t="s">
        <v>2</v>
      </c>
      <c r="AQ54" s="1" t="s">
        <v>2</v>
      </c>
      <c r="AR54" s="1" t="s">
        <v>3</v>
      </c>
      <c r="AS54" s="1" t="s">
        <v>2</v>
      </c>
      <c r="AT54" s="1" t="s">
        <v>2</v>
      </c>
      <c r="AU54" s="1" t="s">
        <v>2</v>
      </c>
      <c r="AV54" s="1" t="s">
        <v>2</v>
      </c>
      <c r="AW54" s="1" t="s">
        <v>2</v>
      </c>
      <c r="AX54" s="1" t="s">
        <v>3</v>
      </c>
      <c r="AY54" s="1" t="s">
        <v>2</v>
      </c>
      <c r="AZ54" s="1" t="s">
        <v>2</v>
      </c>
      <c r="BA54">
        <f>IF(V54="YES",1,0)</f>
        <v>0</v>
      </c>
      <c r="BB54">
        <f>IF(AT54="YES",1,0)</f>
        <v>0</v>
      </c>
      <c r="BC54">
        <f>MAX(BA54,BB54)*B54</f>
        <v>0</v>
      </c>
    </row>
    <row r="55" spans="1:55" x14ac:dyDescent="0.35">
      <c r="A55" s="2">
        <v>30</v>
      </c>
      <c r="B55" s="3">
        <f>COUNTIF(C55:AZ55,"YES")</f>
        <v>0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  <c r="AK55" s="1" t="s">
        <v>2</v>
      </c>
      <c r="AL55" s="1" t="s">
        <v>2</v>
      </c>
      <c r="AM55" s="1" t="s">
        <v>2</v>
      </c>
      <c r="AN55" s="1" t="s">
        <v>2</v>
      </c>
      <c r="AO55" s="1" t="s">
        <v>2</v>
      </c>
      <c r="AP55" s="1" t="s">
        <v>2</v>
      </c>
      <c r="AQ55" s="1" t="s">
        <v>2</v>
      </c>
      <c r="AR55" s="1" t="s">
        <v>2</v>
      </c>
      <c r="AS55" s="1" t="s">
        <v>2</v>
      </c>
      <c r="AT55" s="1" t="s">
        <v>2</v>
      </c>
      <c r="AU55" s="1" t="s">
        <v>2</v>
      </c>
      <c r="AV55" s="1" t="s">
        <v>2</v>
      </c>
      <c r="AW55" s="1" t="s">
        <v>2</v>
      </c>
      <c r="AX55" s="1" t="s">
        <v>2</v>
      </c>
      <c r="AY55" s="1" t="s">
        <v>2</v>
      </c>
      <c r="AZ55" s="1" t="s">
        <v>2</v>
      </c>
      <c r="BA55">
        <f>IF(V55="YES",1,0)</f>
        <v>0</v>
      </c>
      <c r="BB55">
        <f>IF(AT55="YES",1,0)</f>
        <v>0</v>
      </c>
      <c r="BC55">
        <f>MAX(BA55,BB55)*B55</f>
        <v>0</v>
      </c>
    </row>
    <row r="56" spans="1:55" x14ac:dyDescent="0.35">
      <c r="A56" s="2">
        <v>31</v>
      </c>
      <c r="B56" s="3">
        <f>COUNTIF(C56:AZ56,"YES")</f>
        <v>10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3</v>
      </c>
      <c r="H56" s="1" t="s">
        <v>2</v>
      </c>
      <c r="I56" s="1" t="s">
        <v>2</v>
      </c>
      <c r="J56" s="1" t="s">
        <v>3</v>
      </c>
      <c r="K56" s="1" t="s">
        <v>2</v>
      </c>
      <c r="L56" s="1" t="s">
        <v>3</v>
      </c>
      <c r="M56" s="1" t="s">
        <v>2</v>
      </c>
      <c r="N56" s="1" t="s">
        <v>2</v>
      </c>
      <c r="O56" s="1" t="s">
        <v>2</v>
      </c>
      <c r="P56" s="1" t="s">
        <v>3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3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3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3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  <c r="AK56" s="1" t="s">
        <v>2</v>
      </c>
      <c r="AL56" s="1" t="s">
        <v>2</v>
      </c>
      <c r="AM56" s="1" t="s">
        <v>3</v>
      </c>
      <c r="AN56" s="1" t="s">
        <v>2</v>
      </c>
      <c r="AO56" s="1" t="s">
        <v>2</v>
      </c>
      <c r="AP56" s="1" t="s">
        <v>2</v>
      </c>
      <c r="AQ56" s="1" t="s">
        <v>2</v>
      </c>
      <c r="AR56" s="1" t="s">
        <v>2</v>
      </c>
      <c r="AS56" s="1" t="s">
        <v>2</v>
      </c>
      <c r="AT56" s="1" t="s">
        <v>2</v>
      </c>
      <c r="AU56" s="1" t="s">
        <v>3</v>
      </c>
      <c r="AV56" s="1" t="s">
        <v>2</v>
      </c>
      <c r="AW56" s="1" t="s">
        <v>2</v>
      </c>
      <c r="AX56" s="1" t="s">
        <v>2</v>
      </c>
      <c r="AY56" s="1" t="s">
        <v>3</v>
      </c>
      <c r="AZ56" s="1" t="s">
        <v>2</v>
      </c>
      <c r="BA56">
        <f>IF(V56="YES",1,0)</f>
        <v>0</v>
      </c>
      <c r="BB56">
        <f>IF(AT56="YES",1,0)</f>
        <v>0</v>
      </c>
      <c r="BC56">
        <f>MAX(BA56,BB56)*B56</f>
        <v>0</v>
      </c>
    </row>
    <row r="57" spans="1:55" x14ac:dyDescent="0.35">
      <c r="A57" s="2">
        <v>33</v>
      </c>
      <c r="B57" s="3">
        <f>COUNTIF(C57:AZ57,"YES")</f>
        <v>6</v>
      </c>
      <c r="C57" s="1" t="s">
        <v>2</v>
      </c>
      <c r="D57" s="1" t="s">
        <v>2</v>
      </c>
      <c r="E57" s="1" t="s">
        <v>2</v>
      </c>
      <c r="F57" s="1" t="s">
        <v>3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3</v>
      </c>
      <c r="AB57" s="1" t="s">
        <v>3</v>
      </c>
      <c r="AC57" s="1" t="s">
        <v>2</v>
      </c>
      <c r="AD57" s="1" t="s">
        <v>2</v>
      </c>
      <c r="AE57" s="1" t="s">
        <v>2</v>
      </c>
      <c r="AF57" s="1" t="s">
        <v>3</v>
      </c>
      <c r="AG57" s="1" t="s">
        <v>2</v>
      </c>
      <c r="AH57" s="1" t="s">
        <v>2</v>
      </c>
      <c r="AI57" s="1" t="s">
        <v>2</v>
      </c>
      <c r="AJ57" s="1" t="s">
        <v>2</v>
      </c>
      <c r="AK57" s="1" t="s">
        <v>2</v>
      </c>
      <c r="AL57" s="1" t="s">
        <v>2</v>
      </c>
      <c r="AM57" s="1" t="s">
        <v>2</v>
      </c>
      <c r="AN57" s="1" t="s">
        <v>2</v>
      </c>
      <c r="AO57" s="1" t="s">
        <v>2</v>
      </c>
      <c r="AP57" s="1" t="s">
        <v>2</v>
      </c>
      <c r="AQ57" s="1" t="s">
        <v>3</v>
      </c>
      <c r="AR57" s="1" t="s">
        <v>2</v>
      </c>
      <c r="AS57" s="1" t="s">
        <v>2</v>
      </c>
      <c r="AT57" s="1" t="s">
        <v>2</v>
      </c>
      <c r="AU57" s="1" t="s">
        <v>2</v>
      </c>
      <c r="AV57" s="1" t="s">
        <v>3</v>
      </c>
      <c r="AW57" s="1" t="s">
        <v>2</v>
      </c>
      <c r="AX57" s="1" t="s">
        <v>2</v>
      </c>
      <c r="AY57" s="1" t="s">
        <v>2</v>
      </c>
      <c r="AZ57" s="1" t="s">
        <v>2</v>
      </c>
      <c r="BA57">
        <f>IF(V57="YES",1,0)</f>
        <v>0</v>
      </c>
      <c r="BB57">
        <f>IF(AT57="YES",1,0)</f>
        <v>0</v>
      </c>
      <c r="BC57">
        <f>MAX(BA57,BB57)*B57</f>
        <v>0</v>
      </c>
    </row>
    <row r="58" spans="1:55" x14ac:dyDescent="0.35">
      <c r="A58" s="2">
        <v>35</v>
      </c>
      <c r="B58" s="3">
        <f>COUNTIF(C58:AZ58,"YES")</f>
        <v>2</v>
      </c>
      <c r="C58" s="1" t="s">
        <v>2</v>
      </c>
      <c r="D58" s="1" t="s">
        <v>2</v>
      </c>
      <c r="E58" s="1" t="s">
        <v>2</v>
      </c>
      <c r="F58" s="1" t="s">
        <v>3</v>
      </c>
      <c r="G58" s="1" t="s">
        <v>2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3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  <c r="AK58" s="1" t="s">
        <v>2</v>
      </c>
      <c r="AL58" s="1" t="s">
        <v>2</v>
      </c>
      <c r="AM58" s="1" t="s">
        <v>2</v>
      </c>
      <c r="AN58" s="1" t="s">
        <v>2</v>
      </c>
      <c r="AO58" s="1" t="s">
        <v>2</v>
      </c>
      <c r="AP58" s="1" t="s">
        <v>2</v>
      </c>
      <c r="AQ58" s="1" t="s">
        <v>2</v>
      </c>
      <c r="AR58" s="1" t="s">
        <v>2</v>
      </c>
      <c r="AS58" s="1" t="s">
        <v>2</v>
      </c>
      <c r="AT58" s="1" t="s">
        <v>2</v>
      </c>
      <c r="AU58" s="1" t="s">
        <v>2</v>
      </c>
      <c r="AV58" s="1" t="s">
        <v>2</v>
      </c>
      <c r="AW58" s="1" t="s">
        <v>2</v>
      </c>
      <c r="AX58" s="1" t="s">
        <v>2</v>
      </c>
      <c r="AY58" s="1" t="s">
        <v>2</v>
      </c>
      <c r="AZ58" s="1" t="s">
        <v>2</v>
      </c>
      <c r="BA58">
        <f>IF(V58="YES",1,0)</f>
        <v>0</v>
      </c>
      <c r="BB58">
        <f>IF(AT58="YES",1,0)</f>
        <v>0</v>
      </c>
      <c r="BC58">
        <f>MAX(BA58,BB58)*B58</f>
        <v>0</v>
      </c>
    </row>
    <row r="59" spans="1:55" x14ac:dyDescent="0.35">
      <c r="A59" s="2">
        <v>36</v>
      </c>
      <c r="B59" s="3">
        <f>COUNTIF(C59:AZ59,"YES")</f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3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  <c r="W59" s="1" t="s">
        <v>2</v>
      </c>
      <c r="X59" s="1" t="s">
        <v>2</v>
      </c>
      <c r="Y59" s="1" t="s">
        <v>2</v>
      </c>
      <c r="Z59" s="1" t="s">
        <v>2</v>
      </c>
      <c r="AA59" s="1" t="s">
        <v>2</v>
      </c>
      <c r="AB59" s="1" t="s">
        <v>2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  <c r="AK59" s="1" t="s">
        <v>2</v>
      </c>
      <c r="AL59" s="1" t="s">
        <v>3</v>
      </c>
      <c r="AM59" s="1" t="s">
        <v>2</v>
      </c>
      <c r="AN59" s="1" t="s">
        <v>2</v>
      </c>
      <c r="AO59" s="1" t="s">
        <v>2</v>
      </c>
      <c r="AP59" s="1" t="s">
        <v>2</v>
      </c>
      <c r="AQ59" s="1" t="s">
        <v>2</v>
      </c>
      <c r="AR59" s="1" t="s">
        <v>2</v>
      </c>
      <c r="AS59" s="1" t="s">
        <v>2</v>
      </c>
      <c r="AT59" s="1" t="s">
        <v>2</v>
      </c>
      <c r="AU59" s="1" t="s">
        <v>2</v>
      </c>
      <c r="AV59" s="1" t="s">
        <v>2</v>
      </c>
      <c r="AW59" s="1" t="s">
        <v>2</v>
      </c>
      <c r="AX59" s="1" t="s">
        <v>2</v>
      </c>
      <c r="AY59" s="1" t="s">
        <v>2</v>
      </c>
      <c r="AZ59" s="1" t="s">
        <v>2</v>
      </c>
      <c r="BA59">
        <f>IF(V59="YES",1,0)</f>
        <v>0</v>
      </c>
      <c r="BB59">
        <f>IF(AT59="YES",1,0)</f>
        <v>0</v>
      </c>
      <c r="BC59">
        <f>MAX(BA59,BB59)*B59</f>
        <v>0</v>
      </c>
    </row>
    <row r="60" spans="1:55" x14ac:dyDescent="0.35">
      <c r="A60" s="2">
        <v>37</v>
      </c>
      <c r="B60" s="3">
        <f>COUNTIF(C60:AZ60,"YES")</f>
        <v>0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  <c r="AK60" s="1" t="s">
        <v>2</v>
      </c>
      <c r="AL60" s="1" t="s">
        <v>2</v>
      </c>
      <c r="AM60" s="1" t="s">
        <v>2</v>
      </c>
      <c r="AN60" s="1" t="s">
        <v>2</v>
      </c>
      <c r="AO60" s="1" t="s">
        <v>2</v>
      </c>
      <c r="AP60" s="1" t="s">
        <v>2</v>
      </c>
      <c r="AQ60" s="1" t="s">
        <v>2</v>
      </c>
      <c r="AR60" s="1" t="s">
        <v>2</v>
      </c>
      <c r="AS60" s="1" t="s">
        <v>2</v>
      </c>
      <c r="AT60" s="1" t="s">
        <v>2</v>
      </c>
      <c r="AU60" s="1" t="s">
        <v>2</v>
      </c>
      <c r="AV60" s="1" t="s">
        <v>2</v>
      </c>
      <c r="AW60" s="1" t="s">
        <v>2</v>
      </c>
      <c r="AX60" s="1" t="s">
        <v>2</v>
      </c>
      <c r="AY60" s="1" t="s">
        <v>2</v>
      </c>
      <c r="AZ60" s="1" t="s">
        <v>2</v>
      </c>
      <c r="BA60">
        <f>IF(V60="YES",1,0)</f>
        <v>0</v>
      </c>
      <c r="BB60">
        <f>IF(AT60="YES",1,0)</f>
        <v>0</v>
      </c>
      <c r="BC60">
        <f>MAX(BA60,BB60)*B60</f>
        <v>0</v>
      </c>
    </row>
    <row r="61" spans="1:55" x14ac:dyDescent="0.35">
      <c r="A61" s="2">
        <v>38</v>
      </c>
      <c r="B61" s="3">
        <f>COUNTIF(C61:AZ61,"YES")</f>
        <v>4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3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3</v>
      </c>
      <c r="Z61" s="1" t="s">
        <v>2</v>
      </c>
      <c r="AA61" s="1" t="s">
        <v>2</v>
      </c>
      <c r="AB61" s="1" t="s">
        <v>2</v>
      </c>
      <c r="AC61" s="1" t="s">
        <v>3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  <c r="AK61" s="1" t="s">
        <v>2</v>
      </c>
      <c r="AL61" s="1" t="s">
        <v>2</v>
      </c>
      <c r="AM61" s="1" t="s">
        <v>2</v>
      </c>
      <c r="AN61" s="1" t="s">
        <v>2</v>
      </c>
      <c r="AO61" s="1" t="s">
        <v>2</v>
      </c>
      <c r="AP61" s="1" t="s">
        <v>2</v>
      </c>
      <c r="AQ61" s="1" t="s">
        <v>2</v>
      </c>
      <c r="AR61" s="1" t="s">
        <v>2</v>
      </c>
      <c r="AS61" s="1" t="s">
        <v>2</v>
      </c>
      <c r="AT61" s="1" t="s">
        <v>2</v>
      </c>
      <c r="AU61" s="1" t="s">
        <v>2</v>
      </c>
      <c r="AV61" s="1" t="s">
        <v>2</v>
      </c>
      <c r="AW61" s="1" t="s">
        <v>2</v>
      </c>
      <c r="AX61" s="1" t="s">
        <v>2</v>
      </c>
      <c r="AY61" s="1" t="s">
        <v>2</v>
      </c>
      <c r="AZ61" s="1" t="s">
        <v>3</v>
      </c>
      <c r="BA61">
        <f>IF(V61="YES",1,0)</f>
        <v>0</v>
      </c>
      <c r="BB61">
        <f>IF(AT61="YES",1,0)</f>
        <v>0</v>
      </c>
      <c r="BC61">
        <f>MAX(BA61,BB61)*B61</f>
        <v>0</v>
      </c>
    </row>
    <row r="62" spans="1:55" x14ac:dyDescent="0.35">
      <c r="A62" s="2">
        <v>39</v>
      </c>
      <c r="B62" s="3">
        <f>COUNTIF(C62:AZ62,"YES")</f>
        <v>4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3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3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3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3</v>
      </c>
      <c r="AG62" s="1" t="s">
        <v>2</v>
      </c>
      <c r="AH62" s="1" t="s">
        <v>2</v>
      </c>
      <c r="AI62" s="1" t="s">
        <v>2</v>
      </c>
      <c r="AJ62" s="1" t="s">
        <v>2</v>
      </c>
      <c r="AK62" s="1" t="s">
        <v>2</v>
      </c>
      <c r="AL62" s="1" t="s">
        <v>2</v>
      </c>
      <c r="AM62" s="1" t="s">
        <v>2</v>
      </c>
      <c r="AN62" s="1" t="s">
        <v>2</v>
      </c>
      <c r="AO62" s="1" t="s">
        <v>2</v>
      </c>
      <c r="AP62" s="1" t="s">
        <v>2</v>
      </c>
      <c r="AQ62" s="1" t="s">
        <v>2</v>
      </c>
      <c r="AR62" s="1" t="s">
        <v>2</v>
      </c>
      <c r="AS62" s="1" t="s">
        <v>2</v>
      </c>
      <c r="AT62" s="1" t="s">
        <v>2</v>
      </c>
      <c r="AU62" s="1" t="s">
        <v>2</v>
      </c>
      <c r="AV62" s="1" t="s">
        <v>2</v>
      </c>
      <c r="AW62" s="1" t="s">
        <v>2</v>
      </c>
      <c r="AX62" s="1" t="s">
        <v>2</v>
      </c>
      <c r="AY62" s="1" t="s">
        <v>2</v>
      </c>
      <c r="AZ62" s="1" t="s">
        <v>2</v>
      </c>
      <c r="BA62">
        <f>IF(V62="YES",1,0)</f>
        <v>0</v>
      </c>
      <c r="BB62">
        <f>IF(AT62="YES",1,0)</f>
        <v>0</v>
      </c>
      <c r="BC62">
        <f>MAX(BA62,BB62)*B62</f>
        <v>0</v>
      </c>
    </row>
    <row r="63" spans="1:55" x14ac:dyDescent="0.35">
      <c r="A63" s="2">
        <v>41</v>
      </c>
      <c r="B63" s="3">
        <f>COUNTIF(C63:AZ63,"YES")</f>
        <v>1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3</v>
      </c>
      <c r="AK63" s="1" t="s">
        <v>2</v>
      </c>
      <c r="AL63" s="1" t="s">
        <v>2</v>
      </c>
      <c r="AM63" s="1" t="s">
        <v>2</v>
      </c>
      <c r="AN63" s="1" t="s">
        <v>2</v>
      </c>
      <c r="AO63" s="1" t="s">
        <v>2</v>
      </c>
      <c r="AP63" s="1" t="s">
        <v>2</v>
      </c>
      <c r="AQ63" s="1" t="s">
        <v>2</v>
      </c>
      <c r="AR63" s="1" t="s">
        <v>2</v>
      </c>
      <c r="AS63" s="1" t="s">
        <v>2</v>
      </c>
      <c r="AT63" s="1" t="s">
        <v>2</v>
      </c>
      <c r="AU63" s="1" t="s">
        <v>2</v>
      </c>
      <c r="AV63" s="1" t="s">
        <v>2</v>
      </c>
      <c r="AW63" s="1" t="s">
        <v>2</v>
      </c>
      <c r="AX63" s="1" t="s">
        <v>2</v>
      </c>
      <c r="AY63" s="1" t="s">
        <v>2</v>
      </c>
      <c r="AZ63" s="1" t="s">
        <v>2</v>
      </c>
      <c r="BA63">
        <f>IF(V63="YES",1,0)</f>
        <v>0</v>
      </c>
      <c r="BB63">
        <f>IF(AT63="YES",1,0)</f>
        <v>0</v>
      </c>
      <c r="BC63">
        <f>MAX(BA63,BB63)*B63</f>
        <v>0</v>
      </c>
    </row>
    <row r="64" spans="1:55" x14ac:dyDescent="0.35">
      <c r="A64" s="2">
        <v>44</v>
      </c>
      <c r="B64" s="3">
        <f>COUNTIF(C64:AZ64,"YES")</f>
        <v>5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3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3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3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3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  <c r="AK64" s="1" t="s">
        <v>2</v>
      </c>
      <c r="AL64" s="1" t="s">
        <v>2</v>
      </c>
      <c r="AM64" s="1" t="s">
        <v>2</v>
      </c>
      <c r="AN64" s="1" t="s">
        <v>2</v>
      </c>
      <c r="AO64" s="1" t="s">
        <v>2</v>
      </c>
      <c r="AP64" s="1" t="s">
        <v>2</v>
      </c>
      <c r="AQ64" s="1" t="s">
        <v>2</v>
      </c>
      <c r="AR64" s="1" t="s">
        <v>2</v>
      </c>
      <c r="AS64" s="1" t="s">
        <v>2</v>
      </c>
      <c r="AT64" s="1" t="s">
        <v>2</v>
      </c>
      <c r="AU64" s="1" t="s">
        <v>2</v>
      </c>
      <c r="AV64" s="1" t="s">
        <v>2</v>
      </c>
      <c r="AW64" s="1" t="s">
        <v>2</v>
      </c>
      <c r="AX64" s="1" t="s">
        <v>2</v>
      </c>
      <c r="AY64" s="1" t="s">
        <v>3</v>
      </c>
      <c r="AZ64" s="1" t="s">
        <v>2</v>
      </c>
      <c r="BA64">
        <f>IF(V64="YES",1,0)</f>
        <v>0</v>
      </c>
      <c r="BB64">
        <f>IF(AT64="YES",1,0)</f>
        <v>0</v>
      </c>
      <c r="BC64">
        <f>MAX(BA64,BB64)*B64</f>
        <v>0</v>
      </c>
    </row>
    <row r="65" spans="1:55" x14ac:dyDescent="0.35">
      <c r="A65" s="2">
        <v>45</v>
      </c>
      <c r="B65" s="3">
        <f>COUNTIF(C65:AZ65,"YES")</f>
        <v>5</v>
      </c>
      <c r="C65" s="1" t="s">
        <v>2</v>
      </c>
      <c r="D65" s="1" t="s">
        <v>2</v>
      </c>
      <c r="E65" s="1" t="s">
        <v>2</v>
      </c>
      <c r="F65" s="1" t="s">
        <v>3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3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3</v>
      </c>
      <c r="AK65" s="1" t="s">
        <v>2</v>
      </c>
      <c r="AL65" s="1" t="s">
        <v>2</v>
      </c>
      <c r="AM65" s="1" t="s">
        <v>2</v>
      </c>
      <c r="AN65" s="1" t="s">
        <v>2</v>
      </c>
      <c r="AO65" s="1" t="s">
        <v>2</v>
      </c>
      <c r="AP65" s="1" t="s">
        <v>2</v>
      </c>
      <c r="AQ65" s="1" t="s">
        <v>2</v>
      </c>
      <c r="AR65" s="1" t="s">
        <v>2</v>
      </c>
      <c r="AS65" s="1" t="s">
        <v>2</v>
      </c>
      <c r="AT65" s="1" t="s">
        <v>2</v>
      </c>
      <c r="AU65" s="1" t="s">
        <v>2</v>
      </c>
      <c r="AV65" s="1" t="s">
        <v>2</v>
      </c>
      <c r="AW65" s="1" t="s">
        <v>2</v>
      </c>
      <c r="AX65" s="1" t="s">
        <v>3</v>
      </c>
      <c r="AY65" s="1" t="s">
        <v>3</v>
      </c>
      <c r="AZ65" s="1" t="s">
        <v>2</v>
      </c>
      <c r="BA65">
        <f>IF(V65="YES",1,0)</f>
        <v>0</v>
      </c>
      <c r="BB65">
        <f>IF(AT65="YES",1,0)</f>
        <v>0</v>
      </c>
      <c r="BC65">
        <f>MAX(BA65,BB65)*B65</f>
        <v>0</v>
      </c>
    </row>
    <row r="66" spans="1:55" x14ac:dyDescent="0.35">
      <c r="A66" s="2">
        <v>47</v>
      </c>
      <c r="B66" s="3">
        <f>COUNTIF(C66:AZ66,"YES")</f>
        <v>17</v>
      </c>
      <c r="C66" s="1" t="s">
        <v>3</v>
      </c>
      <c r="D66" s="1" t="s">
        <v>2</v>
      </c>
      <c r="E66" s="1" t="s">
        <v>3</v>
      </c>
      <c r="F66" s="1" t="s">
        <v>2</v>
      </c>
      <c r="G66" s="1" t="s">
        <v>2</v>
      </c>
      <c r="H66" s="1" t="s">
        <v>2</v>
      </c>
      <c r="I66" s="1" t="s">
        <v>3</v>
      </c>
      <c r="J66" s="1" t="s">
        <v>3</v>
      </c>
      <c r="K66" s="1" t="s">
        <v>2</v>
      </c>
      <c r="L66" s="1" t="s">
        <v>2</v>
      </c>
      <c r="M66" s="1" t="s">
        <v>2</v>
      </c>
      <c r="N66" s="1" t="s">
        <v>3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3</v>
      </c>
      <c r="X66" s="1" t="s">
        <v>3</v>
      </c>
      <c r="Y66" s="1" t="s">
        <v>3</v>
      </c>
      <c r="Z66" s="1" t="s">
        <v>2</v>
      </c>
      <c r="AA66" s="1" t="s">
        <v>2</v>
      </c>
      <c r="AB66" s="1" t="s">
        <v>2</v>
      </c>
      <c r="AC66" s="1" t="s">
        <v>3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3</v>
      </c>
      <c r="AK66" s="1" t="s">
        <v>2</v>
      </c>
      <c r="AL66" s="1" t="s">
        <v>3</v>
      </c>
      <c r="AM66" s="1" t="s">
        <v>3</v>
      </c>
      <c r="AN66" s="1" t="s">
        <v>2</v>
      </c>
      <c r="AO66" s="1" t="s">
        <v>3</v>
      </c>
      <c r="AP66" s="1" t="s">
        <v>2</v>
      </c>
      <c r="AQ66" s="1" t="s">
        <v>3</v>
      </c>
      <c r="AR66" s="1" t="s">
        <v>3</v>
      </c>
      <c r="AS66" s="1" t="s">
        <v>2</v>
      </c>
      <c r="AT66" s="1" t="s">
        <v>2</v>
      </c>
      <c r="AU66" s="1" t="s">
        <v>2</v>
      </c>
      <c r="AV66" s="1" t="s">
        <v>2</v>
      </c>
      <c r="AW66" s="1" t="s">
        <v>2</v>
      </c>
      <c r="AX66" s="1" t="s">
        <v>2</v>
      </c>
      <c r="AY66" s="1" t="s">
        <v>3</v>
      </c>
      <c r="AZ66" s="1" t="s">
        <v>3</v>
      </c>
      <c r="BA66">
        <f>IF(V66="YES",1,0)</f>
        <v>0</v>
      </c>
      <c r="BB66">
        <f>IF(AT66="YES",1,0)</f>
        <v>0</v>
      </c>
      <c r="BC66">
        <f>MAX(BA66,BB66)*B66</f>
        <v>0</v>
      </c>
    </row>
    <row r="67" spans="1:55" x14ac:dyDescent="0.35">
      <c r="A67" s="2">
        <v>48</v>
      </c>
      <c r="B67" s="3">
        <f>COUNTIF(C67:AZ67,"YES")</f>
        <v>2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3</v>
      </c>
      <c r="Q67" s="1" t="s">
        <v>2</v>
      </c>
      <c r="R67" s="1" t="s">
        <v>2</v>
      </c>
      <c r="S67" s="1" t="s">
        <v>3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2</v>
      </c>
      <c r="AB67" s="1" t="s">
        <v>2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  <c r="AK67" s="1" t="s">
        <v>2</v>
      </c>
      <c r="AL67" s="1" t="s">
        <v>2</v>
      </c>
      <c r="AM67" s="1" t="s">
        <v>2</v>
      </c>
      <c r="AN67" s="1" t="s">
        <v>2</v>
      </c>
      <c r="AO67" s="1" t="s">
        <v>2</v>
      </c>
      <c r="AP67" s="1" t="s">
        <v>2</v>
      </c>
      <c r="AQ67" s="1" t="s">
        <v>2</v>
      </c>
      <c r="AR67" s="1" t="s">
        <v>2</v>
      </c>
      <c r="AS67" s="1" t="s">
        <v>2</v>
      </c>
      <c r="AT67" s="1" t="s">
        <v>2</v>
      </c>
      <c r="AU67" s="1" t="s">
        <v>2</v>
      </c>
      <c r="AV67" s="1" t="s">
        <v>2</v>
      </c>
      <c r="AW67" s="1" t="s">
        <v>2</v>
      </c>
      <c r="AX67" s="1" t="s">
        <v>2</v>
      </c>
      <c r="AY67" s="1" t="s">
        <v>2</v>
      </c>
      <c r="AZ67" s="1" t="s">
        <v>2</v>
      </c>
      <c r="BA67">
        <f>IF(V67="YES",1,0)</f>
        <v>0</v>
      </c>
      <c r="BB67">
        <f>IF(AT67="YES",1,0)</f>
        <v>0</v>
      </c>
      <c r="BC67">
        <f>MAX(BA67,BB67)*B67</f>
        <v>0</v>
      </c>
    </row>
    <row r="68" spans="1:55" x14ac:dyDescent="0.35">
      <c r="A68" s="2">
        <v>50</v>
      </c>
      <c r="B68" s="3">
        <f>COUNTIF(C68:AZ68,"YES")</f>
        <v>12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3</v>
      </c>
      <c r="H68" s="1" t="s">
        <v>3</v>
      </c>
      <c r="I68" s="1" t="s">
        <v>2</v>
      </c>
      <c r="J68" s="1" t="s">
        <v>3</v>
      </c>
      <c r="K68" s="1" t="s">
        <v>2</v>
      </c>
      <c r="L68" s="1" t="s">
        <v>3</v>
      </c>
      <c r="M68" s="1" t="s">
        <v>2</v>
      </c>
      <c r="N68" s="1" t="s">
        <v>2</v>
      </c>
      <c r="O68" s="1" t="s">
        <v>2</v>
      </c>
      <c r="P68" s="1" t="s">
        <v>3</v>
      </c>
      <c r="Q68" s="1" t="s">
        <v>2</v>
      </c>
      <c r="R68" s="1" t="s">
        <v>2</v>
      </c>
      <c r="S68" s="1" t="s">
        <v>3</v>
      </c>
      <c r="T68" s="1" t="s">
        <v>2</v>
      </c>
      <c r="U68" s="1" t="s">
        <v>3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3</v>
      </c>
      <c r="AA68" s="1" t="s">
        <v>2</v>
      </c>
      <c r="AB68" s="1" t="s">
        <v>2</v>
      </c>
      <c r="AC68" s="1" t="s">
        <v>2</v>
      </c>
      <c r="AD68" s="1" t="s">
        <v>2</v>
      </c>
      <c r="AE68" s="1" t="s">
        <v>3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  <c r="AK68" s="1" t="s">
        <v>2</v>
      </c>
      <c r="AL68" s="1" t="s">
        <v>2</v>
      </c>
      <c r="AM68" s="1" t="s">
        <v>3</v>
      </c>
      <c r="AN68" s="1" t="s">
        <v>2</v>
      </c>
      <c r="AO68" s="1" t="s">
        <v>2</v>
      </c>
      <c r="AP68" s="1" t="s">
        <v>2</v>
      </c>
      <c r="AQ68" s="1" t="s">
        <v>2</v>
      </c>
      <c r="AR68" s="1" t="s">
        <v>2</v>
      </c>
      <c r="AS68" s="1" t="s">
        <v>2</v>
      </c>
      <c r="AT68" s="1" t="s">
        <v>2</v>
      </c>
      <c r="AU68" s="1" t="s">
        <v>3</v>
      </c>
      <c r="AV68" s="1" t="s">
        <v>2</v>
      </c>
      <c r="AW68" s="1" t="s">
        <v>2</v>
      </c>
      <c r="AX68" s="1" t="s">
        <v>2</v>
      </c>
      <c r="AY68" s="1" t="s">
        <v>3</v>
      </c>
      <c r="AZ68" s="1" t="s">
        <v>2</v>
      </c>
      <c r="BA68">
        <f>IF(V68="YES",1,0)</f>
        <v>0</v>
      </c>
      <c r="BB68">
        <f>IF(AT68="YES",1,0)</f>
        <v>0</v>
      </c>
      <c r="BC68">
        <f>MAX(BA68,BB68)*B68</f>
        <v>0</v>
      </c>
    </row>
    <row r="69" spans="1:55" x14ac:dyDescent="0.35">
      <c r="A69" s="2">
        <v>57</v>
      </c>
      <c r="B69" s="3">
        <f>COUNTIF(C69:AZ69,"YES")</f>
        <v>9</v>
      </c>
      <c r="C69" s="1" t="s">
        <v>2</v>
      </c>
      <c r="D69" s="1" t="s">
        <v>3</v>
      </c>
      <c r="E69" s="1" t="s">
        <v>2</v>
      </c>
      <c r="F69" s="1" t="s">
        <v>2</v>
      </c>
      <c r="G69" s="1" t="s">
        <v>2</v>
      </c>
      <c r="H69" s="1" t="s">
        <v>3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3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3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" t="s">
        <v>2</v>
      </c>
      <c r="AE69" s="1" t="s">
        <v>2</v>
      </c>
      <c r="AF69" s="1" t="s">
        <v>3</v>
      </c>
      <c r="AG69" s="1" t="s">
        <v>2</v>
      </c>
      <c r="AH69" s="1" t="s">
        <v>3</v>
      </c>
      <c r="AI69" s="1" t="s">
        <v>2</v>
      </c>
      <c r="AJ69" s="1" t="s">
        <v>2</v>
      </c>
      <c r="AK69" s="1" t="s">
        <v>3</v>
      </c>
      <c r="AL69" s="1" t="s">
        <v>2</v>
      </c>
      <c r="AM69" s="1" t="s">
        <v>2</v>
      </c>
      <c r="AN69" s="1" t="s">
        <v>2</v>
      </c>
      <c r="AO69" s="1" t="s">
        <v>3</v>
      </c>
      <c r="AP69" s="1" t="s">
        <v>2</v>
      </c>
      <c r="AQ69" s="1" t="s">
        <v>2</v>
      </c>
      <c r="AR69" s="1" t="s">
        <v>2</v>
      </c>
      <c r="AS69" s="1" t="s">
        <v>2</v>
      </c>
      <c r="AT69" s="1" t="s">
        <v>2</v>
      </c>
      <c r="AU69" s="1" t="s">
        <v>2</v>
      </c>
      <c r="AV69" s="1" t="s">
        <v>3</v>
      </c>
      <c r="AW69" s="1" t="s">
        <v>2</v>
      </c>
      <c r="AX69" s="1" t="s">
        <v>2</v>
      </c>
      <c r="AY69" s="1" t="s">
        <v>2</v>
      </c>
      <c r="AZ69" s="1" t="s">
        <v>2</v>
      </c>
      <c r="BA69">
        <f>IF(V69="YES",1,0)</f>
        <v>0</v>
      </c>
      <c r="BB69">
        <f>IF(AT69="YES",1,0)</f>
        <v>0</v>
      </c>
      <c r="BC69">
        <f>MAX(BA69,BB69)*B69</f>
        <v>0</v>
      </c>
    </row>
    <row r="70" spans="1:55" x14ac:dyDescent="0.35">
      <c r="A70" s="2">
        <v>59</v>
      </c>
      <c r="B70" s="3">
        <f>COUNTIF(C70:AZ70,"YES")</f>
        <v>6</v>
      </c>
      <c r="C70" s="1" t="s">
        <v>3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3</v>
      </c>
      <c r="M70" s="1" t="s">
        <v>2</v>
      </c>
      <c r="N70" s="1" t="s">
        <v>3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3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3</v>
      </c>
      <c r="AH70" s="1" t="s">
        <v>2</v>
      </c>
      <c r="AI70" s="1" t="s">
        <v>2</v>
      </c>
      <c r="AJ70" s="1" t="s">
        <v>2</v>
      </c>
      <c r="AK70" s="1" t="s">
        <v>2</v>
      </c>
      <c r="AL70" s="1" t="s">
        <v>2</v>
      </c>
      <c r="AM70" s="1" t="s">
        <v>2</v>
      </c>
      <c r="AN70" s="1" t="s">
        <v>2</v>
      </c>
      <c r="AO70" s="1" t="s">
        <v>2</v>
      </c>
      <c r="AP70" s="1" t="s">
        <v>2</v>
      </c>
      <c r="AQ70" s="1" t="s">
        <v>2</v>
      </c>
      <c r="AR70" s="1" t="s">
        <v>2</v>
      </c>
      <c r="AS70" s="1" t="s">
        <v>2</v>
      </c>
      <c r="AT70" s="1" t="s">
        <v>2</v>
      </c>
      <c r="AU70" s="1" t="s">
        <v>2</v>
      </c>
      <c r="AV70" s="1" t="s">
        <v>3</v>
      </c>
      <c r="AW70" s="1" t="s">
        <v>2</v>
      </c>
      <c r="AX70" s="1" t="s">
        <v>2</v>
      </c>
      <c r="AY70" s="1" t="s">
        <v>2</v>
      </c>
      <c r="AZ70" s="1" t="s">
        <v>2</v>
      </c>
      <c r="BA70">
        <f>IF(V70="YES",1,0)</f>
        <v>0</v>
      </c>
      <c r="BB70">
        <f>IF(AT70="YES",1,0)</f>
        <v>0</v>
      </c>
      <c r="BC70">
        <f>MAX(BA70,BB70)*B70</f>
        <v>0</v>
      </c>
    </row>
    <row r="71" spans="1:55" x14ac:dyDescent="0.35">
      <c r="A71" s="2">
        <v>60</v>
      </c>
      <c r="B71" s="3">
        <f>COUNTIF(C71:AZ71,"YES")</f>
        <v>2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3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3</v>
      </c>
      <c r="AH71" s="1" t="s">
        <v>2</v>
      </c>
      <c r="AI71" s="1" t="s">
        <v>2</v>
      </c>
      <c r="AJ71" s="1" t="s">
        <v>2</v>
      </c>
      <c r="AK71" s="1" t="s">
        <v>2</v>
      </c>
      <c r="AL71" s="1" t="s">
        <v>2</v>
      </c>
      <c r="AM71" s="1" t="s">
        <v>2</v>
      </c>
      <c r="AN71" s="1" t="s">
        <v>2</v>
      </c>
      <c r="AO71" s="1" t="s">
        <v>2</v>
      </c>
      <c r="AP71" s="1" t="s">
        <v>2</v>
      </c>
      <c r="AQ71" s="1" t="s">
        <v>2</v>
      </c>
      <c r="AR71" s="1" t="s">
        <v>2</v>
      </c>
      <c r="AS71" s="1" t="s">
        <v>2</v>
      </c>
      <c r="AT71" s="1" t="s">
        <v>2</v>
      </c>
      <c r="AU71" s="1" t="s">
        <v>2</v>
      </c>
      <c r="AV71" s="1" t="s">
        <v>2</v>
      </c>
      <c r="AW71" s="1" t="s">
        <v>2</v>
      </c>
      <c r="AX71" s="1" t="s">
        <v>2</v>
      </c>
      <c r="AY71" s="1" t="s">
        <v>2</v>
      </c>
      <c r="AZ71" s="1" t="s">
        <v>2</v>
      </c>
      <c r="BA71">
        <f>IF(V71="YES",1,0)</f>
        <v>0</v>
      </c>
      <c r="BB71">
        <f>IF(AT71="YES",1,0)</f>
        <v>0</v>
      </c>
      <c r="BC71">
        <f>MAX(BA71,BB71)*B71</f>
        <v>0</v>
      </c>
    </row>
    <row r="72" spans="1:55" x14ac:dyDescent="0.35">
      <c r="A72" s="2">
        <v>61</v>
      </c>
      <c r="B72" s="3">
        <f>COUNTIF(C72:AZ72,"YES")</f>
        <v>3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3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3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  <c r="AK72" s="1" t="s">
        <v>2</v>
      </c>
      <c r="AL72" s="1" t="s">
        <v>2</v>
      </c>
      <c r="AM72" s="1" t="s">
        <v>2</v>
      </c>
      <c r="AN72" s="1" t="s">
        <v>2</v>
      </c>
      <c r="AO72" s="1" t="s">
        <v>2</v>
      </c>
      <c r="AP72" s="1" t="s">
        <v>2</v>
      </c>
      <c r="AQ72" s="1" t="s">
        <v>2</v>
      </c>
      <c r="AR72" s="1" t="s">
        <v>2</v>
      </c>
      <c r="AS72" s="1" t="s">
        <v>2</v>
      </c>
      <c r="AT72" s="1" t="s">
        <v>2</v>
      </c>
      <c r="AU72" s="1" t="s">
        <v>2</v>
      </c>
      <c r="AV72" s="1" t="s">
        <v>2</v>
      </c>
      <c r="AW72" s="1" t="s">
        <v>2</v>
      </c>
      <c r="AX72" s="1" t="s">
        <v>2</v>
      </c>
      <c r="AY72" s="1" t="s">
        <v>3</v>
      </c>
      <c r="AZ72" s="1" t="s">
        <v>2</v>
      </c>
      <c r="BA72">
        <f>IF(V72="YES",1,0)</f>
        <v>0</v>
      </c>
      <c r="BB72">
        <f>IF(AT72="YES",1,0)</f>
        <v>0</v>
      </c>
      <c r="BC72">
        <f>MAX(BA72,BB72)*B72</f>
        <v>0</v>
      </c>
    </row>
    <row r="73" spans="1:55" x14ac:dyDescent="0.35">
      <c r="A73" s="2">
        <v>62</v>
      </c>
      <c r="B73" s="3">
        <f>COUNTIF(C73:AZ73,"YES")</f>
        <v>3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3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3</v>
      </c>
      <c r="AK73" s="1" t="s">
        <v>2</v>
      </c>
      <c r="AL73" s="1" t="s">
        <v>2</v>
      </c>
      <c r="AM73" s="1" t="s">
        <v>2</v>
      </c>
      <c r="AN73" s="1" t="s">
        <v>2</v>
      </c>
      <c r="AO73" s="1" t="s">
        <v>2</v>
      </c>
      <c r="AP73" s="1" t="s">
        <v>2</v>
      </c>
      <c r="AQ73" s="1" t="s">
        <v>2</v>
      </c>
      <c r="AR73" s="1" t="s">
        <v>2</v>
      </c>
      <c r="AS73" s="1" t="s">
        <v>3</v>
      </c>
      <c r="AT73" s="1" t="s">
        <v>2</v>
      </c>
      <c r="AU73" s="1" t="s">
        <v>2</v>
      </c>
      <c r="AV73" s="1" t="s">
        <v>2</v>
      </c>
      <c r="AW73" s="1" t="s">
        <v>2</v>
      </c>
      <c r="AX73" s="1" t="s">
        <v>2</v>
      </c>
      <c r="AY73" s="1" t="s">
        <v>2</v>
      </c>
      <c r="AZ73" s="1" t="s">
        <v>2</v>
      </c>
      <c r="BA73">
        <f>IF(V73="YES",1,0)</f>
        <v>0</v>
      </c>
      <c r="BB73">
        <f>IF(AT73="YES",1,0)</f>
        <v>0</v>
      </c>
      <c r="BC73">
        <f>MAX(BA73,BB73)*B73</f>
        <v>0</v>
      </c>
    </row>
    <row r="74" spans="1:55" x14ac:dyDescent="0.35">
      <c r="A74" s="2">
        <v>63</v>
      </c>
      <c r="B74" s="3">
        <f>COUNTIF(C74:AZ74,"YES")</f>
        <v>3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3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3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  <c r="AK74" s="1" t="s">
        <v>2</v>
      </c>
      <c r="AL74" s="1" t="s">
        <v>2</v>
      </c>
      <c r="AM74" s="1" t="s">
        <v>2</v>
      </c>
      <c r="AN74" s="1" t="s">
        <v>2</v>
      </c>
      <c r="AO74" s="1" t="s">
        <v>2</v>
      </c>
      <c r="AP74" s="1" t="s">
        <v>2</v>
      </c>
      <c r="AQ74" s="1" t="s">
        <v>2</v>
      </c>
      <c r="AR74" s="1" t="s">
        <v>2</v>
      </c>
      <c r="AS74" s="1" t="s">
        <v>2</v>
      </c>
      <c r="AT74" s="1" t="s">
        <v>2</v>
      </c>
      <c r="AU74" s="1" t="s">
        <v>3</v>
      </c>
      <c r="AV74" s="1" t="s">
        <v>2</v>
      </c>
      <c r="AW74" s="1" t="s">
        <v>2</v>
      </c>
      <c r="AX74" s="1" t="s">
        <v>2</v>
      </c>
      <c r="AY74" s="1" t="s">
        <v>2</v>
      </c>
      <c r="AZ74" s="1" t="s">
        <v>2</v>
      </c>
      <c r="BA74">
        <f>IF(V74="YES",1,0)</f>
        <v>0</v>
      </c>
      <c r="BB74">
        <f>IF(AT74="YES",1,0)</f>
        <v>0</v>
      </c>
      <c r="BC74">
        <f>MAX(BA74,BB74)*B74</f>
        <v>0</v>
      </c>
    </row>
    <row r="75" spans="1:55" x14ac:dyDescent="0.35">
      <c r="A75" s="2">
        <v>64</v>
      </c>
      <c r="B75" s="3">
        <f>COUNTIF(C75:AZ75,"YES")</f>
        <v>8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3</v>
      </c>
      <c r="H75" s="1" t="s">
        <v>2</v>
      </c>
      <c r="I75" s="1" t="s">
        <v>2</v>
      </c>
      <c r="J75" s="1" t="s">
        <v>3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3</v>
      </c>
      <c r="T75" s="1" t="s">
        <v>2</v>
      </c>
      <c r="U75" s="1" t="s">
        <v>3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3</v>
      </c>
      <c r="AA75" s="1" t="s">
        <v>2</v>
      </c>
      <c r="AB75" s="1" t="s">
        <v>2</v>
      </c>
      <c r="AC75" s="1" t="s">
        <v>2</v>
      </c>
      <c r="AD75" s="1" t="s">
        <v>2</v>
      </c>
      <c r="AE75" s="1" t="s">
        <v>3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  <c r="AK75" s="1" t="s">
        <v>2</v>
      </c>
      <c r="AL75" s="1" t="s">
        <v>2</v>
      </c>
      <c r="AM75" s="1" t="s">
        <v>3</v>
      </c>
      <c r="AN75" s="1" t="s">
        <v>2</v>
      </c>
      <c r="AO75" s="1" t="s">
        <v>2</v>
      </c>
      <c r="AP75" s="1" t="s">
        <v>2</v>
      </c>
      <c r="AQ75" s="1" t="s">
        <v>2</v>
      </c>
      <c r="AR75" s="1" t="s">
        <v>2</v>
      </c>
      <c r="AS75" s="1" t="s">
        <v>2</v>
      </c>
      <c r="AT75" s="1" t="s">
        <v>2</v>
      </c>
      <c r="AU75" s="1" t="s">
        <v>2</v>
      </c>
      <c r="AV75" s="1" t="s">
        <v>2</v>
      </c>
      <c r="AW75" s="1" t="s">
        <v>2</v>
      </c>
      <c r="AX75" s="1" t="s">
        <v>2</v>
      </c>
      <c r="AY75" s="1" t="s">
        <v>3</v>
      </c>
      <c r="AZ75" s="1" t="s">
        <v>2</v>
      </c>
      <c r="BA75">
        <f>IF(V75="YES",1,0)</f>
        <v>0</v>
      </c>
      <c r="BB75">
        <f>IF(AT75="YES",1,0)</f>
        <v>0</v>
      </c>
      <c r="BC75">
        <f>MAX(BA75,BB75)*B75</f>
        <v>0</v>
      </c>
    </row>
    <row r="76" spans="1:55" x14ac:dyDescent="0.35">
      <c r="A76" s="2">
        <v>65</v>
      </c>
      <c r="B76" s="3">
        <f>COUNTIF(C76:AZ76,"YES")</f>
        <v>16</v>
      </c>
      <c r="C76" s="1" t="s">
        <v>3</v>
      </c>
      <c r="D76" s="1" t="s">
        <v>3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3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3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3</v>
      </c>
      <c r="X76" s="1" t="s">
        <v>3</v>
      </c>
      <c r="Y76" s="1" t="s">
        <v>2</v>
      </c>
      <c r="Z76" s="1" t="s">
        <v>3</v>
      </c>
      <c r="AA76" s="1" t="s">
        <v>3</v>
      </c>
      <c r="AB76" s="1" t="s">
        <v>2</v>
      </c>
      <c r="AC76" s="1" t="s">
        <v>3</v>
      </c>
      <c r="AD76" s="1" t="s">
        <v>2</v>
      </c>
      <c r="AE76" s="1" t="s">
        <v>3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  <c r="AK76" s="1" t="s">
        <v>3</v>
      </c>
      <c r="AL76" s="1" t="s">
        <v>2</v>
      </c>
      <c r="AM76" s="1" t="s">
        <v>2</v>
      </c>
      <c r="AN76" s="1" t="s">
        <v>2</v>
      </c>
      <c r="AO76" s="1" t="s">
        <v>3</v>
      </c>
      <c r="AP76" s="1" t="s">
        <v>2</v>
      </c>
      <c r="AQ76" s="1" t="s">
        <v>2</v>
      </c>
      <c r="AR76" s="1" t="s">
        <v>3</v>
      </c>
      <c r="AS76" s="1" t="s">
        <v>3</v>
      </c>
      <c r="AT76" s="1" t="s">
        <v>2</v>
      </c>
      <c r="AU76" s="1" t="s">
        <v>2</v>
      </c>
      <c r="AV76" s="1" t="s">
        <v>2</v>
      </c>
      <c r="AW76" s="1" t="s">
        <v>2</v>
      </c>
      <c r="AX76" s="1" t="s">
        <v>2</v>
      </c>
      <c r="AY76" s="1" t="s">
        <v>3</v>
      </c>
      <c r="AZ76" s="1" t="s">
        <v>3</v>
      </c>
      <c r="BA76">
        <f>IF(V76="YES",1,0)</f>
        <v>0</v>
      </c>
      <c r="BB76">
        <f>IF(AT76="YES",1,0)</f>
        <v>0</v>
      </c>
      <c r="BC76">
        <f>MAX(BA76,BB76)*B76</f>
        <v>0</v>
      </c>
    </row>
    <row r="77" spans="1:55" x14ac:dyDescent="0.35">
      <c r="A77" s="2">
        <v>66</v>
      </c>
      <c r="B77" s="3">
        <f>COUNTIF(C77:AZ77,"YES")</f>
        <v>4</v>
      </c>
      <c r="C77" s="1" t="s">
        <v>2</v>
      </c>
      <c r="D77" s="1" t="s">
        <v>3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3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3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3</v>
      </c>
      <c r="AI77" s="1" t="s">
        <v>2</v>
      </c>
      <c r="AJ77" s="1" t="s">
        <v>2</v>
      </c>
      <c r="AK77" s="1" t="s">
        <v>2</v>
      </c>
      <c r="AL77" s="1" t="s">
        <v>2</v>
      </c>
      <c r="AM77" s="1" t="s">
        <v>2</v>
      </c>
      <c r="AN77" s="1" t="s">
        <v>2</v>
      </c>
      <c r="AO77" s="1" t="s">
        <v>2</v>
      </c>
      <c r="AP77" s="1" t="s">
        <v>2</v>
      </c>
      <c r="AQ77" s="1" t="s">
        <v>2</v>
      </c>
      <c r="AR77" s="1" t="s">
        <v>2</v>
      </c>
      <c r="AS77" s="1" t="s">
        <v>2</v>
      </c>
      <c r="AT77" s="1" t="s">
        <v>2</v>
      </c>
      <c r="AU77" s="1" t="s">
        <v>2</v>
      </c>
      <c r="AV77" s="1" t="s">
        <v>2</v>
      </c>
      <c r="AW77" s="1" t="s">
        <v>2</v>
      </c>
      <c r="AX77" s="1" t="s">
        <v>2</v>
      </c>
      <c r="AY77" s="1" t="s">
        <v>2</v>
      </c>
      <c r="AZ77" s="1" t="s">
        <v>2</v>
      </c>
      <c r="BA77">
        <f>IF(V77="YES",1,0)</f>
        <v>0</v>
      </c>
      <c r="BB77">
        <f>IF(AT77="YES",1,0)</f>
        <v>0</v>
      </c>
      <c r="BC77">
        <f>MAX(BA77,BB77)*B77</f>
        <v>0</v>
      </c>
    </row>
    <row r="78" spans="1:55" x14ac:dyDescent="0.35">
      <c r="A78" s="2">
        <v>67</v>
      </c>
      <c r="B78" s="3">
        <f>COUNTIF(C78:AZ78,"YES")</f>
        <v>6</v>
      </c>
      <c r="C78" s="1" t="s">
        <v>2</v>
      </c>
      <c r="D78" s="1" t="s">
        <v>2</v>
      </c>
      <c r="E78" s="1" t="s">
        <v>3</v>
      </c>
      <c r="F78" s="1" t="s">
        <v>3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3</v>
      </c>
      <c r="AD78" s="1" t="s">
        <v>2</v>
      </c>
      <c r="AE78" s="1" t="s">
        <v>2</v>
      </c>
      <c r="AF78" s="1" t="s">
        <v>2</v>
      </c>
      <c r="AG78" s="1" t="s">
        <v>3</v>
      </c>
      <c r="AH78" s="1" t="s">
        <v>2</v>
      </c>
      <c r="AI78" s="1" t="s">
        <v>2</v>
      </c>
      <c r="AJ78" s="1" t="s">
        <v>2</v>
      </c>
      <c r="AK78" s="1" t="s">
        <v>2</v>
      </c>
      <c r="AL78" s="1" t="s">
        <v>2</v>
      </c>
      <c r="AM78" s="1" t="s">
        <v>2</v>
      </c>
      <c r="AN78" s="1" t="s">
        <v>2</v>
      </c>
      <c r="AO78" s="1" t="s">
        <v>2</v>
      </c>
      <c r="AP78" s="1" t="s">
        <v>2</v>
      </c>
      <c r="AQ78" s="1" t="s">
        <v>3</v>
      </c>
      <c r="AR78" s="1" t="s">
        <v>2</v>
      </c>
      <c r="AS78" s="1" t="s">
        <v>2</v>
      </c>
      <c r="AT78" s="1" t="s">
        <v>2</v>
      </c>
      <c r="AU78" s="1" t="s">
        <v>2</v>
      </c>
      <c r="AV78" s="1" t="s">
        <v>2</v>
      </c>
      <c r="AW78" s="1" t="s">
        <v>2</v>
      </c>
      <c r="AX78" s="1" t="s">
        <v>2</v>
      </c>
      <c r="AY78" s="1" t="s">
        <v>2</v>
      </c>
      <c r="AZ78" s="1" t="s">
        <v>3</v>
      </c>
      <c r="BA78">
        <f>IF(V78="YES",1,0)</f>
        <v>0</v>
      </c>
      <c r="BB78">
        <f>IF(AT78="YES",1,0)</f>
        <v>0</v>
      </c>
      <c r="BC78">
        <f>MAX(BA78,BB78)*B78</f>
        <v>0</v>
      </c>
    </row>
    <row r="79" spans="1:55" x14ac:dyDescent="0.35">
      <c r="A79" s="2">
        <v>68</v>
      </c>
      <c r="B79" s="3">
        <f>COUNTIF(C79:AZ79,"YES")</f>
        <v>4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3</v>
      </c>
      <c r="Z79" s="1" t="s">
        <v>2</v>
      </c>
      <c r="AA79" s="1" t="s">
        <v>2</v>
      </c>
      <c r="AB79" s="1" t="s">
        <v>3</v>
      </c>
      <c r="AC79" s="1" t="s">
        <v>2</v>
      </c>
      <c r="AD79" s="1" t="s">
        <v>2</v>
      </c>
      <c r="AE79" s="1" t="s">
        <v>3</v>
      </c>
      <c r="AF79" s="1" t="s">
        <v>2</v>
      </c>
      <c r="AG79" s="1" t="s">
        <v>3</v>
      </c>
      <c r="AH79" s="1" t="s">
        <v>2</v>
      </c>
      <c r="AI79" s="1" t="s">
        <v>2</v>
      </c>
      <c r="AJ79" s="1" t="s">
        <v>2</v>
      </c>
      <c r="AK79" s="1" t="s">
        <v>2</v>
      </c>
      <c r="AL79" s="1" t="s">
        <v>2</v>
      </c>
      <c r="AM79" s="1" t="s">
        <v>2</v>
      </c>
      <c r="AN79" s="1" t="s">
        <v>2</v>
      </c>
      <c r="AO79" s="1" t="s">
        <v>2</v>
      </c>
      <c r="AP79" s="1" t="s">
        <v>2</v>
      </c>
      <c r="AQ79" s="1" t="s">
        <v>2</v>
      </c>
      <c r="AR79" s="1" t="s">
        <v>2</v>
      </c>
      <c r="AS79" s="1" t="s">
        <v>2</v>
      </c>
      <c r="AT79" s="1" t="s">
        <v>2</v>
      </c>
      <c r="AU79" s="1" t="s">
        <v>2</v>
      </c>
      <c r="AV79" s="1" t="s">
        <v>2</v>
      </c>
      <c r="AW79" s="1" t="s">
        <v>2</v>
      </c>
      <c r="AX79" s="1" t="s">
        <v>2</v>
      </c>
      <c r="AY79" s="1" t="s">
        <v>2</v>
      </c>
      <c r="AZ79" s="1" t="s">
        <v>2</v>
      </c>
      <c r="BA79">
        <f>IF(V79="YES",1,0)</f>
        <v>0</v>
      </c>
      <c r="BB79">
        <f>IF(AT79="YES",1,0)</f>
        <v>0</v>
      </c>
      <c r="BC79">
        <f>MAX(BA79,BB79)*B79</f>
        <v>0</v>
      </c>
    </row>
    <row r="80" spans="1:55" x14ac:dyDescent="0.35">
      <c r="A80" s="2">
        <v>69</v>
      </c>
      <c r="B80" s="3">
        <f>COUNTIF(C80:AZ80,"YES")</f>
        <v>1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3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  <c r="AK80" s="1" t="s">
        <v>2</v>
      </c>
      <c r="AL80" s="1" t="s">
        <v>2</v>
      </c>
      <c r="AM80" s="1" t="s">
        <v>2</v>
      </c>
      <c r="AN80" s="1" t="s">
        <v>2</v>
      </c>
      <c r="AO80" s="1" t="s">
        <v>2</v>
      </c>
      <c r="AP80" s="1" t="s">
        <v>2</v>
      </c>
      <c r="AQ80" s="1" t="s">
        <v>2</v>
      </c>
      <c r="AR80" s="1" t="s">
        <v>2</v>
      </c>
      <c r="AS80" s="1" t="s">
        <v>2</v>
      </c>
      <c r="AT80" s="1" t="s">
        <v>2</v>
      </c>
      <c r="AU80" s="1" t="s">
        <v>2</v>
      </c>
      <c r="AV80" s="1" t="s">
        <v>2</v>
      </c>
      <c r="AW80" s="1" t="s">
        <v>2</v>
      </c>
      <c r="AX80" s="1" t="s">
        <v>2</v>
      </c>
      <c r="AY80" s="1" t="s">
        <v>2</v>
      </c>
      <c r="AZ80" s="1" t="s">
        <v>2</v>
      </c>
      <c r="BA80">
        <f>IF(V80="YES",1,0)</f>
        <v>0</v>
      </c>
      <c r="BB80">
        <f>IF(AT80="YES",1,0)</f>
        <v>0</v>
      </c>
      <c r="BC80">
        <f>MAX(BA80,BB80)*B80</f>
        <v>0</v>
      </c>
    </row>
    <row r="81" spans="1:55" x14ac:dyDescent="0.35">
      <c r="A81" s="2">
        <v>70</v>
      </c>
      <c r="B81" s="3">
        <f>COUNTIF(C81:AZ81,"YES")</f>
        <v>2</v>
      </c>
      <c r="C81" s="1" t="s">
        <v>2</v>
      </c>
      <c r="D81" s="1" t="s">
        <v>2</v>
      </c>
      <c r="E81" s="1" t="s">
        <v>3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3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  <c r="AK81" s="1" t="s">
        <v>2</v>
      </c>
      <c r="AL81" s="1" t="s">
        <v>2</v>
      </c>
      <c r="AM81" s="1" t="s">
        <v>2</v>
      </c>
      <c r="AN81" s="1" t="s">
        <v>2</v>
      </c>
      <c r="AO81" s="1" t="s">
        <v>2</v>
      </c>
      <c r="AP81" s="1" t="s">
        <v>2</v>
      </c>
      <c r="AQ81" s="1" t="s">
        <v>2</v>
      </c>
      <c r="AR81" s="1" t="s">
        <v>2</v>
      </c>
      <c r="AS81" s="1" t="s">
        <v>2</v>
      </c>
      <c r="AT81" s="1" t="s">
        <v>2</v>
      </c>
      <c r="AU81" s="1" t="s">
        <v>2</v>
      </c>
      <c r="AV81" s="1" t="s">
        <v>2</v>
      </c>
      <c r="AW81" s="1" t="s">
        <v>2</v>
      </c>
      <c r="AX81" s="1" t="s">
        <v>2</v>
      </c>
      <c r="AY81" s="1" t="s">
        <v>2</v>
      </c>
      <c r="AZ81" s="1" t="s">
        <v>2</v>
      </c>
      <c r="BA81">
        <f>IF(V81="YES",1,0)</f>
        <v>0</v>
      </c>
      <c r="BB81">
        <f>IF(AT81="YES",1,0)</f>
        <v>0</v>
      </c>
      <c r="BC81">
        <f>MAX(BA81,BB81)*B81</f>
        <v>0</v>
      </c>
    </row>
    <row r="82" spans="1:55" x14ac:dyDescent="0.35">
      <c r="A82" s="2">
        <v>71</v>
      </c>
      <c r="B82" s="3">
        <f>COUNTIF(C82:AZ82,"YES")</f>
        <v>2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  <c r="AK82" s="1" t="s">
        <v>2</v>
      </c>
      <c r="AL82" s="1" t="s">
        <v>2</v>
      </c>
      <c r="AM82" s="1" t="s">
        <v>2</v>
      </c>
      <c r="AN82" s="1" t="s">
        <v>2</v>
      </c>
      <c r="AO82" s="1" t="s">
        <v>2</v>
      </c>
      <c r="AP82" s="1" t="s">
        <v>3</v>
      </c>
      <c r="AQ82" s="1" t="s">
        <v>2</v>
      </c>
      <c r="AR82" s="1" t="s">
        <v>2</v>
      </c>
      <c r="AS82" s="1" t="s">
        <v>2</v>
      </c>
      <c r="AT82" s="1" t="s">
        <v>2</v>
      </c>
      <c r="AU82" s="1" t="s">
        <v>2</v>
      </c>
      <c r="AV82" s="1" t="s">
        <v>2</v>
      </c>
      <c r="AW82" s="1" t="s">
        <v>3</v>
      </c>
      <c r="AX82" s="1" t="s">
        <v>2</v>
      </c>
      <c r="AY82" s="1" t="s">
        <v>2</v>
      </c>
      <c r="AZ82" s="1" t="s">
        <v>2</v>
      </c>
      <c r="BA82">
        <f>IF(V82="YES",1,0)</f>
        <v>0</v>
      </c>
      <c r="BB82">
        <f>IF(AT82="YES",1,0)</f>
        <v>0</v>
      </c>
      <c r="BC82">
        <f>MAX(BA82,BB82)*B82</f>
        <v>0</v>
      </c>
    </row>
    <row r="83" spans="1:55" x14ac:dyDescent="0.35">
      <c r="A83" s="2">
        <v>73</v>
      </c>
      <c r="B83" s="3">
        <f>COUNTIF(C83:AZ83,"YES")</f>
        <v>10</v>
      </c>
      <c r="C83" s="1" t="s">
        <v>2</v>
      </c>
      <c r="D83" s="1" t="s">
        <v>3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3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3</v>
      </c>
      <c r="Y83" s="1" t="s">
        <v>2</v>
      </c>
      <c r="Z83" s="1" t="s">
        <v>2</v>
      </c>
      <c r="AA83" s="1" t="s">
        <v>3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3</v>
      </c>
      <c r="AH83" s="1" t="s">
        <v>3</v>
      </c>
      <c r="AI83" s="1" t="s">
        <v>2</v>
      </c>
      <c r="AJ83" s="1" t="s">
        <v>2</v>
      </c>
      <c r="AK83" s="1" t="s">
        <v>3</v>
      </c>
      <c r="AL83" s="1" t="s">
        <v>3</v>
      </c>
      <c r="AM83" s="1" t="s">
        <v>2</v>
      </c>
      <c r="AN83" s="1" t="s">
        <v>2</v>
      </c>
      <c r="AO83" s="1" t="s">
        <v>3</v>
      </c>
      <c r="AP83" s="1" t="s">
        <v>2</v>
      </c>
      <c r="AQ83" s="1" t="s">
        <v>2</v>
      </c>
      <c r="AR83" s="1" t="s">
        <v>2</v>
      </c>
      <c r="AS83" s="1" t="s">
        <v>2</v>
      </c>
      <c r="AT83" s="1" t="s">
        <v>2</v>
      </c>
      <c r="AU83" s="1" t="s">
        <v>2</v>
      </c>
      <c r="AV83" s="1" t="s">
        <v>2</v>
      </c>
      <c r="AW83" s="1" t="s">
        <v>2</v>
      </c>
      <c r="AX83" s="1" t="s">
        <v>3</v>
      </c>
      <c r="AY83" s="1" t="s">
        <v>2</v>
      </c>
      <c r="AZ83" s="1" t="s">
        <v>2</v>
      </c>
      <c r="BA83">
        <f>IF(V83="YES",1,0)</f>
        <v>0</v>
      </c>
      <c r="BB83">
        <f>IF(AT83="YES",1,0)</f>
        <v>0</v>
      </c>
      <c r="BC83">
        <f>MAX(BA83,BB83)*B83</f>
        <v>0</v>
      </c>
    </row>
    <row r="84" spans="1:55" x14ac:dyDescent="0.35">
      <c r="A84" s="2">
        <v>74</v>
      </c>
      <c r="B84" s="3">
        <f>COUNTIF(C84:AZ84,"YES")</f>
        <v>7</v>
      </c>
      <c r="C84" s="1" t="s">
        <v>2</v>
      </c>
      <c r="D84" s="1" t="s">
        <v>2</v>
      </c>
      <c r="E84" s="1" t="s">
        <v>2</v>
      </c>
      <c r="F84" s="1" t="s">
        <v>3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3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3</v>
      </c>
      <c r="AC84" s="1" t="s">
        <v>3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  <c r="AK84" s="1" t="s">
        <v>2</v>
      </c>
      <c r="AL84" s="1" t="s">
        <v>2</v>
      </c>
      <c r="AM84" s="1" t="s">
        <v>2</v>
      </c>
      <c r="AN84" s="1" t="s">
        <v>2</v>
      </c>
      <c r="AO84" s="1" t="s">
        <v>2</v>
      </c>
      <c r="AP84" s="1" t="s">
        <v>2</v>
      </c>
      <c r="AQ84" s="1" t="s">
        <v>3</v>
      </c>
      <c r="AR84" s="1" t="s">
        <v>2</v>
      </c>
      <c r="AS84" s="1" t="s">
        <v>3</v>
      </c>
      <c r="AT84" s="1" t="s">
        <v>2</v>
      </c>
      <c r="AU84" s="1" t="s">
        <v>2</v>
      </c>
      <c r="AV84" s="1" t="s">
        <v>2</v>
      </c>
      <c r="AW84" s="1" t="s">
        <v>2</v>
      </c>
      <c r="AX84" s="1" t="s">
        <v>2</v>
      </c>
      <c r="AY84" s="1" t="s">
        <v>2</v>
      </c>
      <c r="AZ84" s="1" t="s">
        <v>3</v>
      </c>
      <c r="BA84">
        <f>IF(V84="YES",1,0)</f>
        <v>0</v>
      </c>
      <c r="BB84">
        <f>IF(AT84="YES",1,0)</f>
        <v>0</v>
      </c>
      <c r="BC84">
        <f>MAX(BA84,BB84)*B84</f>
        <v>0</v>
      </c>
    </row>
    <row r="85" spans="1:55" x14ac:dyDescent="0.35">
      <c r="A85" s="2">
        <v>76</v>
      </c>
      <c r="B85" s="3">
        <f>COUNTIF(C85:AZ85,"YES")</f>
        <v>11</v>
      </c>
      <c r="C85" s="1" t="s">
        <v>2</v>
      </c>
      <c r="D85" s="1" t="s">
        <v>2</v>
      </c>
      <c r="E85" s="1" t="s">
        <v>3</v>
      </c>
      <c r="F85" s="1" t="s">
        <v>3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3</v>
      </c>
      <c r="Z85" s="1" t="s">
        <v>3</v>
      </c>
      <c r="AA85" s="1" t="s">
        <v>2</v>
      </c>
      <c r="AB85" s="1" t="s">
        <v>2</v>
      </c>
      <c r="AC85" s="1" t="s">
        <v>3</v>
      </c>
      <c r="AD85" s="1" t="s">
        <v>2</v>
      </c>
      <c r="AE85" s="1" t="s">
        <v>3</v>
      </c>
      <c r="AF85" s="1" t="s">
        <v>2</v>
      </c>
      <c r="AG85" s="1" t="s">
        <v>3</v>
      </c>
      <c r="AH85" s="1" t="s">
        <v>2</v>
      </c>
      <c r="AI85" s="1" t="s">
        <v>2</v>
      </c>
      <c r="AJ85" s="1" t="s">
        <v>2</v>
      </c>
      <c r="AK85" s="1" t="s">
        <v>2</v>
      </c>
      <c r="AL85" s="1" t="s">
        <v>2</v>
      </c>
      <c r="AM85" s="1" t="s">
        <v>2</v>
      </c>
      <c r="AN85" s="1" t="s">
        <v>2</v>
      </c>
      <c r="AO85" s="1" t="s">
        <v>2</v>
      </c>
      <c r="AP85" s="1" t="s">
        <v>2</v>
      </c>
      <c r="AQ85" s="1" t="s">
        <v>3</v>
      </c>
      <c r="AR85" s="1" t="s">
        <v>2</v>
      </c>
      <c r="AS85" s="1" t="s">
        <v>2</v>
      </c>
      <c r="AT85" s="1" t="s">
        <v>2</v>
      </c>
      <c r="AU85" s="1" t="s">
        <v>2</v>
      </c>
      <c r="AV85" s="1" t="s">
        <v>2</v>
      </c>
      <c r="AW85" s="1" t="s">
        <v>2</v>
      </c>
      <c r="AX85" s="1" t="s">
        <v>3</v>
      </c>
      <c r="AY85" s="1" t="s">
        <v>3</v>
      </c>
      <c r="AZ85" s="1" t="s">
        <v>3</v>
      </c>
      <c r="BA85">
        <f>IF(V85="YES",1,0)</f>
        <v>0</v>
      </c>
      <c r="BB85">
        <f>IF(AT85="YES",1,0)</f>
        <v>0</v>
      </c>
      <c r="BC85">
        <f>MAX(BA85,BB85)*B85</f>
        <v>0</v>
      </c>
    </row>
    <row r="86" spans="1:55" x14ac:dyDescent="0.35">
      <c r="A86" s="2">
        <v>77</v>
      </c>
      <c r="B86" s="3">
        <f>COUNTIF(C86:AZ86,"YES")</f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3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  <c r="AK86" s="1" t="s">
        <v>2</v>
      </c>
      <c r="AL86" s="1" t="s">
        <v>2</v>
      </c>
      <c r="AM86" s="1" t="s">
        <v>3</v>
      </c>
      <c r="AN86" s="1" t="s">
        <v>2</v>
      </c>
      <c r="AO86" s="1" t="s">
        <v>2</v>
      </c>
      <c r="AP86" s="1" t="s">
        <v>2</v>
      </c>
      <c r="AQ86" s="1" t="s">
        <v>2</v>
      </c>
      <c r="AR86" s="1" t="s">
        <v>2</v>
      </c>
      <c r="AS86" s="1" t="s">
        <v>2</v>
      </c>
      <c r="AT86" s="1" t="s">
        <v>2</v>
      </c>
      <c r="AU86" s="1" t="s">
        <v>2</v>
      </c>
      <c r="AV86" s="1" t="s">
        <v>2</v>
      </c>
      <c r="AW86" s="1" t="s">
        <v>2</v>
      </c>
      <c r="AX86" s="1" t="s">
        <v>2</v>
      </c>
      <c r="AY86" s="1" t="s">
        <v>2</v>
      </c>
      <c r="AZ86" s="1" t="s">
        <v>2</v>
      </c>
      <c r="BA86">
        <f>IF(V86="YES",1,0)</f>
        <v>0</v>
      </c>
      <c r="BB86">
        <f>IF(AT86="YES",1,0)</f>
        <v>0</v>
      </c>
      <c r="BC86">
        <f>MAX(BA86,BB86)*B86</f>
        <v>0</v>
      </c>
    </row>
    <row r="87" spans="1:55" x14ac:dyDescent="0.35">
      <c r="A87" s="2">
        <v>79</v>
      </c>
      <c r="B87" s="3">
        <f>COUNTIF(C87:AZ87,"YES")</f>
        <v>9</v>
      </c>
      <c r="C87" s="1" t="s">
        <v>3</v>
      </c>
      <c r="D87" s="1" t="s">
        <v>2</v>
      </c>
      <c r="E87" s="1" t="s">
        <v>2</v>
      </c>
      <c r="F87" s="1" t="s">
        <v>2</v>
      </c>
      <c r="G87" s="1" t="s">
        <v>2</v>
      </c>
      <c r="H87" s="1" t="s">
        <v>2</v>
      </c>
      <c r="I87" s="1" t="s">
        <v>3</v>
      </c>
      <c r="J87" s="1" t="s">
        <v>3</v>
      </c>
      <c r="K87" s="1" t="s">
        <v>2</v>
      </c>
      <c r="L87" s="1" t="s">
        <v>2</v>
      </c>
      <c r="M87" s="1" t="s">
        <v>2</v>
      </c>
      <c r="N87" s="1" t="s">
        <v>3</v>
      </c>
      <c r="O87" s="1" t="s">
        <v>2</v>
      </c>
      <c r="P87" s="1" t="s">
        <v>2</v>
      </c>
      <c r="Q87" s="1" t="s">
        <v>2</v>
      </c>
      <c r="R87" s="1" t="s">
        <v>2</v>
      </c>
      <c r="S87" s="1" t="s">
        <v>2</v>
      </c>
      <c r="T87" s="1" t="s">
        <v>2</v>
      </c>
      <c r="U87" s="1" t="s">
        <v>2</v>
      </c>
      <c r="V87" s="1" t="s">
        <v>2</v>
      </c>
      <c r="W87" s="1" t="s">
        <v>2</v>
      </c>
      <c r="X87" s="1" t="s">
        <v>2</v>
      </c>
      <c r="Y87" s="1" t="s">
        <v>2</v>
      </c>
      <c r="Z87" s="1" t="s">
        <v>2</v>
      </c>
      <c r="AA87" s="1" t="s">
        <v>2</v>
      </c>
      <c r="AB87" s="1" t="s">
        <v>2</v>
      </c>
      <c r="AC87" s="1" t="s">
        <v>2</v>
      </c>
      <c r="AD87" s="1" t="s">
        <v>2</v>
      </c>
      <c r="AE87" s="1" t="s">
        <v>2</v>
      </c>
      <c r="AF87" s="1" t="s">
        <v>2</v>
      </c>
      <c r="AG87" s="1" t="s">
        <v>2</v>
      </c>
      <c r="AH87" s="1" t="s">
        <v>2</v>
      </c>
      <c r="AI87" s="1" t="s">
        <v>2</v>
      </c>
      <c r="AJ87" s="1" t="s">
        <v>3</v>
      </c>
      <c r="AK87" s="1" t="s">
        <v>2</v>
      </c>
      <c r="AL87" s="1" t="s">
        <v>3</v>
      </c>
      <c r="AM87" s="1" t="s">
        <v>3</v>
      </c>
      <c r="AN87" s="1" t="s">
        <v>2</v>
      </c>
      <c r="AO87" s="1" t="s">
        <v>3</v>
      </c>
      <c r="AP87" s="1" t="s">
        <v>2</v>
      </c>
      <c r="AQ87" s="1" t="s">
        <v>3</v>
      </c>
      <c r="AR87" s="1" t="s">
        <v>2</v>
      </c>
      <c r="AS87" s="1" t="s">
        <v>2</v>
      </c>
      <c r="AT87" s="1" t="s">
        <v>2</v>
      </c>
      <c r="AU87" s="1" t="s">
        <v>2</v>
      </c>
      <c r="AV87" s="1" t="s">
        <v>2</v>
      </c>
      <c r="AW87" s="1" t="s">
        <v>2</v>
      </c>
      <c r="AX87" s="1" t="s">
        <v>2</v>
      </c>
      <c r="AY87" s="1" t="s">
        <v>2</v>
      </c>
      <c r="AZ87" s="1" t="s">
        <v>2</v>
      </c>
      <c r="BA87">
        <f>IF(V87="YES",1,0)</f>
        <v>0</v>
      </c>
      <c r="BB87">
        <f>IF(AT87="YES",1,0)</f>
        <v>0</v>
      </c>
      <c r="BC87">
        <f>MAX(BA87,BB87)*B87</f>
        <v>0</v>
      </c>
    </row>
    <row r="88" spans="1:55" x14ac:dyDescent="0.35">
      <c r="A88" s="2">
        <v>83</v>
      </c>
      <c r="B88" s="3">
        <f>COUNTIF(C88:AZ88,"YES")</f>
        <v>8</v>
      </c>
      <c r="C88" s="1" t="s">
        <v>2</v>
      </c>
      <c r="D88" s="1" t="s">
        <v>2</v>
      </c>
      <c r="E88" s="1" t="s">
        <v>2</v>
      </c>
      <c r="F88" s="1" t="s">
        <v>2</v>
      </c>
      <c r="G88" s="1" t="s">
        <v>2</v>
      </c>
      <c r="H88" s="1" t="s">
        <v>3</v>
      </c>
      <c r="I88" s="1" t="s">
        <v>3</v>
      </c>
      <c r="J88" s="1" t="s">
        <v>2</v>
      </c>
      <c r="K88" s="1" t="s">
        <v>2</v>
      </c>
      <c r="L88" s="1" t="s">
        <v>2</v>
      </c>
      <c r="M88" s="1" t="s">
        <v>2</v>
      </c>
      <c r="N88" s="1" t="s">
        <v>2</v>
      </c>
      <c r="O88" s="1" t="s">
        <v>2</v>
      </c>
      <c r="P88" s="1" t="s">
        <v>3</v>
      </c>
      <c r="Q88" s="1" t="s">
        <v>2</v>
      </c>
      <c r="R88" s="1" t="s">
        <v>2</v>
      </c>
      <c r="S88" s="1" t="s">
        <v>2</v>
      </c>
      <c r="T88" s="1" t="s">
        <v>2</v>
      </c>
      <c r="U88" s="1" t="s">
        <v>2</v>
      </c>
      <c r="V88" s="1" t="s">
        <v>2</v>
      </c>
      <c r="W88" s="1" t="s">
        <v>3</v>
      </c>
      <c r="X88" s="1" t="s">
        <v>2</v>
      </c>
      <c r="Y88" s="1" t="s">
        <v>2</v>
      </c>
      <c r="Z88" s="1" t="s">
        <v>2</v>
      </c>
      <c r="AA88" s="1" t="s">
        <v>2</v>
      </c>
      <c r="AB88" s="1" t="s">
        <v>2</v>
      </c>
      <c r="AC88" s="1" t="s">
        <v>2</v>
      </c>
      <c r="AD88" s="1" t="s">
        <v>2</v>
      </c>
      <c r="AE88" s="1" t="s">
        <v>2</v>
      </c>
      <c r="AF88" s="1" t="s">
        <v>2</v>
      </c>
      <c r="AG88" s="1" t="s">
        <v>3</v>
      </c>
      <c r="AH88" s="1" t="s">
        <v>2</v>
      </c>
      <c r="AI88" s="1" t="s">
        <v>2</v>
      </c>
      <c r="AJ88" s="1" t="s">
        <v>2</v>
      </c>
      <c r="AK88" s="1" t="s">
        <v>2</v>
      </c>
      <c r="AL88" s="1" t="s">
        <v>2</v>
      </c>
      <c r="AM88" s="1" t="s">
        <v>2</v>
      </c>
      <c r="AN88" s="1" t="s">
        <v>3</v>
      </c>
      <c r="AO88" s="1" t="s">
        <v>2</v>
      </c>
      <c r="AP88" s="1" t="s">
        <v>3</v>
      </c>
      <c r="AQ88" s="1" t="s">
        <v>2</v>
      </c>
      <c r="AR88" s="1" t="s">
        <v>2</v>
      </c>
      <c r="AS88" s="1" t="s">
        <v>2</v>
      </c>
      <c r="AT88" s="1" t="s">
        <v>2</v>
      </c>
      <c r="AU88" s="1" t="s">
        <v>2</v>
      </c>
      <c r="AV88" s="1" t="s">
        <v>2</v>
      </c>
      <c r="AW88" s="1" t="s">
        <v>3</v>
      </c>
      <c r="AX88" s="1" t="s">
        <v>2</v>
      </c>
      <c r="AY88" s="1" t="s">
        <v>2</v>
      </c>
      <c r="AZ88" s="1" t="s">
        <v>2</v>
      </c>
      <c r="BA88">
        <f>IF(V88="YES",1,0)</f>
        <v>0</v>
      </c>
      <c r="BB88">
        <f>IF(AT88="YES",1,0)</f>
        <v>0</v>
      </c>
      <c r="BC88">
        <f>MAX(BA88,BB88)*B88</f>
        <v>0</v>
      </c>
    </row>
    <row r="89" spans="1:55" x14ac:dyDescent="0.35">
      <c r="A89" s="2">
        <v>84</v>
      </c>
      <c r="B89" s="3">
        <f>COUNTIF(C89:AZ89,"YES")</f>
        <v>2</v>
      </c>
      <c r="C89" s="1" t="s">
        <v>3</v>
      </c>
      <c r="D89" s="1" t="s">
        <v>2</v>
      </c>
      <c r="E89" s="1" t="s">
        <v>2</v>
      </c>
      <c r="F89" s="1" t="s">
        <v>2</v>
      </c>
      <c r="G89" s="1" t="s">
        <v>2</v>
      </c>
      <c r="H89" s="1" t="s">
        <v>2</v>
      </c>
      <c r="I89" s="1" t="s">
        <v>2</v>
      </c>
      <c r="J89" s="1" t="s">
        <v>2</v>
      </c>
      <c r="K89" s="1" t="s">
        <v>2</v>
      </c>
      <c r="L89" s="1" t="s">
        <v>2</v>
      </c>
      <c r="M89" s="1" t="s">
        <v>2</v>
      </c>
      <c r="N89" s="1" t="s">
        <v>2</v>
      </c>
      <c r="O89" s="1" t="s">
        <v>2</v>
      </c>
      <c r="P89" s="1" t="s">
        <v>2</v>
      </c>
      <c r="Q89" s="1" t="s">
        <v>2</v>
      </c>
      <c r="R89" s="1" t="s">
        <v>2</v>
      </c>
      <c r="S89" s="1" t="s">
        <v>2</v>
      </c>
      <c r="T89" s="1" t="s">
        <v>2</v>
      </c>
      <c r="U89" s="1" t="s">
        <v>2</v>
      </c>
      <c r="V89" s="1" t="s">
        <v>2</v>
      </c>
      <c r="W89" s="1" t="s">
        <v>3</v>
      </c>
      <c r="X89" s="1" t="s">
        <v>2</v>
      </c>
      <c r="Y89" s="1" t="s">
        <v>2</v>
      </c>
      <c r="Z89" s="1" t="s">
        <v>2</v>
      </c>
      <c r="AA89" s="1" t="s">
        <v>2</v>
      </c>
      <c r="AB89" s="1" t="s">
        <v>2</v>
      </c>
      <c r="AC89" s="1" t="s">
        <v>2</v>
      </c>
      <c r="AD89" s="1" t="s">
        <v>2</v>
      </c>
      <c r="AE89" s="1" t="s">
        <v>2</v>
      </c>
      <c r="AF89" s="1" t="s">
        <v>2</v>
      </c>
      <c r="AG89" s="1" t="s">
        <v>2</v>
      </c>
      <c r="AH89" s="1" t="s">
        <v>2</v>
      </c>
      <c r="AI89" s="1" t="s">
        <v>2</v>
      </c>
      <c r="AJ89" s="1" t="s">
        <v>2</v>
      </c>
      <c r="AK89" s="1" t="s">
        <v>2</v>
      </c>
      <c r="AL89" s="1" t="s">
        <v>2</v>
      </c>
      <c r="AM89" s="1" t="s">
        <v>2</v>
      </c>
      <c r="AN89" s="1" t="s">
        <v>2</v>
      </c>
      <c r="AO89" s="1" t="s">
        <v>2</v>
      </c>
      <c r="AP89" s="1" t="s">
        <v>2</v>
      </c>
      <c r="AQ89" s="1" t="s">
        <v>2</v>
      </c>
      <c r="AR89" s="1" t="s">
        <v>2</v>
      </c>
      <c r="AS89" s="1" t="s">
        <v>2</v>
      </c>
      <c r="AT89" s="1" t="s">
        <v>2</v>
      </c>
      <c r="AU89" s="1" t="s">
        <v>2</v>
      </c>
      <c r="AV89" s="1" t="s">
        <v>2</v>
      </c>
      <c r="AW89" s="1" t="s">
        <v>2</v>
      </c>
      <c r="AX89" s="1" t="s">
        <v>2</v>
      </c>
      <c r="AY89" s="1" t="s">
        <v>2</v>
      </c>
      <c r="AZ89" s="1" t="s">
        <v>2</v>
      </c>
      <c r="BA89">
        <f>IF(V89="YES",1,0)</f>
        <v>0</v>
      </c>
      <c r="BB89">
        <f>IF(AT89="YES",1,0)</f>
        <v>0</v>
      </c>
      <c r="BC89">
        <f>MAX(BA89,BB89)*B89</f>
        <v>0</v>
      </c>
    </row>
    <row r="90" spans="1:55" x14ac:dyDescent="0.35">
      <c r="A90" s="2">
        <v>85</v>
      </c>
      <c r="B90" s="3">
        <f>COUNTIF(C90:AZ90,"YES")</f>
        <v>3</v>
      </c>
      <c r="C90" s="1" t="s">
        <v>2</v>
      </c>
      <c r="D90" s="1" t="s">
        <v>2</v>
      </c>
      <c r="E90" s="1" t="s">
        <v>2</v>
      </c>
      <c r="F90" s="1" t="s">
        <v>2</v>
      </c>
      <c r="G90" s="1" t="s">
        <v>2</v>
      </c>
      <c r="H90" s="1" t="s">
        <v>2</v>
      </c>
      <c r="I90" s="1" t="s">
        <v>2</v>
      </c>
      <c r="J90" s="1" t="s">
        <v>2</v>
      </c>
      <c r="K90" s="1" t="s">
        <v>2</v>
      </c>
      <c r="L90" s="1" t="s">
        <v>2</v>
      </c>
      <c r="M90" s="1" t="s">
        <v>2</v>
      </c>
      <c r="N90" s="1" t="s">
        <v>2</v>
      </c>
      <c r="O90" s="1" t="s">
        <v>2</v>
      </c>
      <c r="P90" s="1" t="s">
        <v>2</v>
      </c>
      <c r="Q90" s="1" t="s">
        <v>2</v>
      </c>
      <c r="R90" s="1" t="s">
        <v>2</v>
      </c>
      <c r="S90" s="1" t="s">
        <v>2</v>
      </c>
      <c r="T90" s="1" t="s">
        <v>2</v>
      </c>
      <c r="U90" s="1" t="s">
        <v>2</v>
      </c>
      <c r="V90" s="1" t="s">
        <v>2</v>
      </c>
      <c r="W90" s="1" t="s">
        <v>2</v>
      </c>
      <c r="X90" s="1" t="s">
        <v>2</v>
      </c>
      <c r="Y90" s="1" t="s">
        <v>2</v>
      </c>
      <c r="Z90" s="1" t="s">
        <v>2</v>
      </c>
      <c r="AA90" s="1" t="s">
        <v>2</v>
      </c>
      <c r="AB90" s="1" t="s">
        <v>2</v>
      </c>
      <c r="AC90" s="1" t="s">
        <v>2</v>
      </c>
      <c r="AD90" s="1" t="s">
        <v>2</v>
      </c>
      <c r="AE90" s="1" t="s">
        <v>2</v>
      </c>
      <c r="AF90" s="1" t="s">
        <v>2</v>
      </c>
      <c r="AG90" s="1" t="s">
        <v>2</v>
      </c>
      <c r="AH90" s="1" t="s">
        <v>2</v>
      </c>
      <c r="AI90" s="1" t="s">
        <v>2</v>
      </c>
      <c r="AJ90" s="1" t="s">
        <v>2</v>
      </c>
      <c r="AK90" s="1" t="s">
        <v>2</v>
      </c>
      <c r="AL90" s="1" t="s">
        <v>2</v>
      </c>
      <c r="AM90" s="1" t="s">
        <v>2</v>
      </c>
      <c r="AN90" s="1" t="s">
        <v>3</v>
      </c>
      <c r="AO90" s="1" t="s">
        <v>2</v>
      </c>
      <c r="AP90" s="1" t="s">
        <v>3</v>
      </c>
      <c r="AQ90" s="1" t="s">
        <v>2</v>
      </c>
      <c r="AR90" s="1" t="s">
        <v>2</v>
      </c>
      <c r="AS90" s="1" t="s">
        <v>2</v>
      </c>
      <c r="AT90" s="1" t="s">
        <v>2</v>
      </c>
      <c r="AU90" s="1" t="s">
        <v>2</v>
      </c>
      <c r="AV90" s="1" t="s">
        <v>2</v>
      </c>
      <c r="AW90" s="1" t="s">
        <v>3</v>
      </c>
      <c r="AX90" s="1" t="s">
        <v>2</v>
      </c>
      <c r="AY90" s="1" t="s">
        <v>2</v>
      </c>
      <c r="AZ90" s="1" t="s">
        <v>2</v>
      </c>
      <c r="BA90">
        <f>IF(V90="YES",1,0)</f>
        <v>0</v>
      </c>
      <c r="BB90">
        <f>IF(AT90="YES",1,0)</f>
        <v>0</v>
      </c>
      <c r="BC90">
        <f>MAX(BA90,BB90)*B90</f>
        <v>0</v>
      </c>
    </row>
    <row r="91" spans="1:55" x14ac:dyDescent="0.35">
      <c r="A91" s="2">
        <v>86</v>
      </c>
      <c r="B91" s="3">
        <f>COUNTIF(C91:AZ91,"YES")</f>
        <v>2</v>
      </c>
      <c r="C91" s="1" t="s">
        <v>2</v>
      </c>
      <c r="D91" s="1" t="s">
        <v>2</v>
      </c>
      <c r="E91" s="1" t="s">
        <v>2</v>
      </c>
      <c r="F91" s="1" t="s">
        <v>2</v>
      </c>
      <c r="G91" s="1" t="s">
        <v>2</v>
      </c>
      <c r="H91" s="1" t="s">
        <v>2</v>
      </c>
      <c r="I91" s="1" t="s">
        <v>2</v>
      </c>
      <c r="J91" s="1" t="s">
        <v>2</v>
      </c>
      <c r="K91" s="1" t="s">
        <v>2</v>
      </c>
      <c r="L91" s="1" t="s">
        <v>2</v>
      </c>
      <c r="M91" s="1" t="s">
        <v>2</v>
      </c>
      <c r="N91" s="1" t="s">
        <v>2</v>
      </c>
      <c r="O91" s="1" t="s">
        <v>2</v>
      </c>
      <c r="P91" s="1" t="s">
        <v>2</v>
      </c>
      <c r="Q91" s="1" t="s">
        <v>2</v>
      </c>
      <c r="R91" s="1" t="s">
        <v>3</v>
      </c>
      <c r="S91" s="1" t="s">
        <v>2</v>
      </c>
      <c r="T91" s="1" t="s">
        <v>2</v>
      </c>
      <c r="U91" s="1" t="s">
        <v>2</v>
      </c>
      <c r="V91" s="1" t="s">
        <v>2</v>
      </c>
      <c r="W91" s="1" t="s">
        <v>2</v>
      </c>
      <c r="X91" s="1" t="s">
        <v>2</v>
      </c>
      <c r="Y91" s="1" t="s">
        <v>2</v>
      </c>
      <c r="Z91" s="1" t="s">
        <v>2</v>
      </c>
      <c r="AA91" s="1" t="s">
        <v>2</v>
      </c>
      <c r="AB91" s="1" t="s">
        <v>2</v>
      </c>
      <c r="AC91" s="1" t="s">
        <v>2</v>
      </c>
      <c r="AD91" s="1" t="s">
        <v>2</v>
      </c>
      <c r="AE91" s="1" t="s">
        <v>2</v>
      </c>
      <c r="AF91" s="1" t="s">
        <v>3</v>
      </c>
      <c r="AG91" s="1" t="s">
        <v>2</v>
      </c>
      <c r="AH91" s="1" t="s">
        <v>2</v>
      </c>
      <c r="AI91" s="1" t="s">
        <v>2</v>
      </c>
      <c r="AJ91" s="1" t="s">
        <v>2</v>
      </c>
      <c r="AK91" s="1" t="s">
        <v>2</v>
      </c>
      <c r="AL91" s="1" t="s">
        <v>2</v>
      </c>
      <c r="AM91" s="1" t="s">
        <v>2</v>
      </c>
      <c r="AN91" s="1" t="s">
        <v>2</v>
      </c>
      <c r="AO91" s="1" t="s">
        <v>2</v>
      </c>
      <c r="AP91" s="1" t="s">
        <v>2</v>
      </c>
      <c r="AQ91" s="1" t="s">
        <v>2</v>
      </c>
      <c r="AR91" s="1" t="s">
        <v>2</v>
      </c>
      <c r="AS91" s="1" t="s">
        <v>2</v>
      </c>
      <c r="AT91" s="1" t="s">
        <v>2</v>
      </c>
      <c r="AU91" s="1" t="s">
        <v>2</v>
      </c>
      <c r="AV91" s="1" t="s">
        <v>2</v>
      </c>
      <c r="AW91" s="1" t="s">
        <v>2</v>
      </c>
      <c r="AX91" s="1" t="s">
        <v>2</v>
      </c>
      <c r="AY91" s="1" t="s">
        <v>2</v>
      </c>
      <c r="AZ91" s="1" t="s">
        <v>2</v>
      </c>
      <c r="BA91">
        <f>IF(V91="YES",1,0)</f>
        <v>0</v>
      </c>
      <c r="BB91">
        <f>IF(AT91="YES",1,0)</f>
        <v>0</v>
      </c>
      <c r="BC91">
        <f>MAX(BA91,BB91)*B91</f>
        <v>0</v>
      </c>
    </row>
    <row r="92" spans="1:55" x14ac:dyDescent="0.35">
      <c r="A92" s="2">
        <v>87</v>
      </c>
      <c r="B92" s="3">
        <f>COUNTIF(C92:AZ92,"YES")</f>
        <v>2</v>
      </c>
      <c r="C92" s="1" t="s">
        <v>3</v>
      </c>
      <c r="D92" s="1" t="s">
        <v>2</v>
      </c>
      <c r="E92" s="1" t="s">
        <v>2</v>
      </c>
      <c r="F92" s="1" t="s">
        <v>2</v>
      </c>
      <c r="G92" s="1" t="s">
        <v>2</v>
      </c>
      <c r="H92" s="1" t="s">
        <v>2</v>
      </c>
      <c r="I92" s="1" t="s">
        <v>2</v>
      </c>
      <c r="J92" s="1" t="s">
        <v>2</v>
      </c>
      <c r="K92" s="1" t="s">
        <v>2</v>
      </c>
      <c r="L92" s="1" t="s">
        <v>3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</v>
      </c>
      <c r="S92" s="1" t="s">
        <v>2</v>
      </c>
      <c r="T92" s="1" t="s">
        <v>2</v>
      </c>
      <c r="U92" s="1" t="s">
        <v>2</v>
      </c>
      <c r="V92" s="1" t="s">
        <v>2</v>
      </c>
      <c r="W92" s="1" t="s">
        <v>2</v>
      </c>
      <c r="X92" s="1" t="s">
        <v>2</v>
      </c>
      <c r="Y92" s="1" t="s">
        <v>2</v>
      </c>
      <c r="Z92" s="1" t="s">
        <v>2</v>
      </c>
      <c r="AA92" s="1" t="s">
        <v>2</v>
      </c>
      <c r="AB92" s="1" t="s">
        <v>2</v>
      </c>
      <c r="AC92" s="1" t="s">
        <v>2</v>
      </c>
      <c r="AD92" s="1" t="s">
        <v>2</v>
      </c>
      <c r="AE92" s="1" t="s">
        <v>2</v>
      </c>
      <c r="AF92" s="1" t="s">
        <v>2</v>
      </c>
      <c r="AG92" s="1" t="s">
        <v>2</v>
      </c>
      <c r="AH92" s="1" t="s">
        <v>2</v>
      </c>
      <c r="AI92" s="1" t="s">
        <v>2</v>
      </c>
      <c r="AJ92" s="1" t="s">
        <v>2</v>
      </c>
      <c r="AK92" s="1" t="s">
        <v>2</v>
      </c>
      <c r="AL92" s="1" t="s">
        <v>2</v>
      </c>
      <c r="AM92" s="1" t="s">
        <v>2</v>
      </c>
      <c r="AN92" s="1" t="s">
        <v>2</v>
      </c>
      <c r="AO92" s="1" t="s">
        <v>2</v>
      </c>
      <c r="AP92" s="1" t="s">
        <v>2</v>
      </c>
      <c r="AQ92" s="1" t="s">
        <v>2</v>
      </c>
      <c r="AR92" s="1" t="s">
        <v>2</v>
      </c>
      <c r="AS92" s="1" t="s">
        <v>2</v>
      </c>
      <c r="AT92" s="1" t="s">
        <v>2</v>
      </c>
      <c r="AU92" s="1" t="s">
        <v>2</v>
      </c>
      <c r="AV92" s="1" t="s">
        <v>2</v>
      </c>
      <c r="AW92" s="1" t="s">
        <v>2</v>
      </c>
      <c r="AX92" s="1" t="s">
        <v>2</v>
      </c>
      <c r="AY92" s="1" t="s">
        <v>2</v>
      </c>
      <c r="AZ92" s="1" t="s">
        <v>2</v>
      </c>
      <c r="BA92">
        <f>IF(V92="YES",1,0)</f>
        <v>0</v>
      </c>
      <c r="BB92">
        <f>IF(AT92="YES",1,0)</f>
        <v>0</v>
      </c>
      <c r="BC92">
        <f>MAX(BA92,BB92)*B92</f>
        <v>0</v>
      </c>
    </row>
    <row r="93" spans="1:55" x14ac:dyDescent="0.35">
      <c r="A93" s="2">
        <v>90</v>
      </c>
      <c r="B93" s="3">
        <f>COUNTIF(C93:AZ93,"YES")</f>
        <v>9</v>
      </c>
      <c r="C93" s="1" t="s">
        <v>2</v>
      </c>
      <c r="D93" s="1" t="s">
        <v>2</v>
      </c>
      <c r="E93" s="1" t="s">
        <v>2</v>
      </c>
      <c r="F93" s="1" t="s">
        <v>2</v>
      </c>
      <c r="G93" s="1" t="s">
        <v>3</v>
      </c>
      <c r="H93" s="1" t="s">
        <v>2</v>
      </c>
      <c r="I93" s="1" t="s">
        <v>2</v>
      </c>
      <c r="J93" s="1" t="s">
        <v>3</v>
      </c>
      <c r="K93" s="1" t="s">
        <v>2</v>
      </c>
      <c r="L93" s="1" t="s">
        <v>2</v>
      </c>
      <c r="M93" s="1" t="s">
        <v>2</v>
      </c>
      <c r="N93" s="1" t="s">
        <v>2</v>
      </c>
      <c r="O93" s="1" t="s">
        <v>2</v>
      </c>
      <c r="P93" s="1" t="s">
        <v>3</v>
      </c>
      <c r="Q93" s="1" t="s">
        <v>2</v>
      </c>
      <c r="R93" s="1" t="s">
        <v>2</v>
      </c>
      <c r="S93" s="1" t="s">
        <v>2</v>
      </c>
      <c r="T93" s="1" t="s">
        <v>2</v>
      </c>
      <c r="U93" s="1" t="s">
        <v>3</v>
      </c>
      <c r="V93" s="1" t="s">
        <v>2</v>
      </c>
      <c r="W93" s="1" t="s">
        <v>2</v>
      </c>
      <c r="X93" s="1" t="s">
        <v>2</v>
      </c>
      <c r="Y93" s="1" t="s">
        <v>2</v>
      </c>
      <c r="Z93" s="1" t="s">
        <v>3</v>
      </c>
      <c r="AA93" s="1" t="s">
        <v>2</v>
      </c>
      <c r="AB93" s="1" t="s">
        <v>2</v>
      </c>
      <c r="AC93" s="1" t="s">
        <v>2</v>
      </c>
      <c r="AD93" s="1" t="s">
        <v>2</v>
      </c>
      <c r="AE93" s="1" t="s">
        <v>3</v>
      </c>
      <c r="AF93" s="1" t="s">
        <v>2</v>
      </c>
      <c r="AG93" s="1" t="s">
        <v>2</v>
      </c>
      <c r="AH93" s="1" t="s">
        <v>2</v>
      </c>
      <c r="AI93" s="1" t="s">
        <v>2</v>
      </c>
      <c r="AJ93" s="1" t="s">
        <v>2</v>
      </c>
      <c r="AK93" s="1" t="s">
        <v>2</v>
      </c>
      <c r="AL93" s="1" t="s">
        <v>2</v>
      </c>
      <c r="AM93" s="1" t="s">
        <v>3</v>
      </c>
      <c r="AN93" s="1" t="s">
        <v>2</v>
      </c>
      <c r="AO93" s="1" t="s">
        <v>2</v>
      </c>
      <c r="AP93" s="1" t="s">
        <v>2</v>
      </c>
      <c r="AQ93" s="1" t="s">
        <v>2</v>
      </c>
      <c r="AR93" s="1" t="s">
        <v>2</v>
      </c>
      <c r="AS93" s="1" t="s">
        <v>2</v>
      </c>
      <c r="AT93" s="1" t="s">
        <v>2</v>
      </c>
      <c r="AU93" s="1" t="s">
        <v>3</v>
      </c>
      <c r="AV93" s="1" t="s">
        <v>2</v>
      </c>
      <c r="AW93" s="1" t="s">
        <v>2</v>
      </c>
      <c r="AX93" s="1" t="s">
        <v>2</v>
      </c>
      <c r="AY93" s="1" t="s">
        <v>3</v>
      </c>
      <c r="AZ93" s="1" t="s">
        <v>2</v>
      </c>
      <c r="BA93">
        <f>IF(V93="YES",1,0)</f>
        <v>0</v>
      </c>
      <c r="BB93">
        <f>IF(AT93="YES",1,0)</f>
        <v>0</v>
      </c>
      <c r="BC93">
        <f>MAX(BA93,BB93)*B93</f>
        <v>0</v>
      </c>
    </row>
    <row r="94" spans="1:55" x14ac:dyDescent="0.35">
      <c r="A94" s="2">
        <v>91</v>
      </c>
      <c r="B94" s="3">
        <f>COUNTIF(C94:AZ94,"YES")</f>
        <v>8</v>
      </c>
      <c r="C94" s="1" t="s">
        <v>3</v>
      </c>
      <c r="D94" s="1" t="s">
        <v>2</v>
      </c>
      <c r="E94" s="1" t="s">
        <v>2</v>
      </c>
      <c r="F94" s="1" t="s">
        <v>2</v>
      </c>
      <c r="G94" s="1" t="s">
        <v>2</v>
      </c>
      <c r="H94" s="1" t="s">
        <v>3</v>
      </c>
      <c r="I94" s="1" t="s">
        <v>2</v>
      </c>
      <c r="J94" s="1" t="s">
        <v>2</v>
      </c>
      <c r="K94" s="1" t="s">
        <v>2</v>
      </c>
      <c r="L94" s="1" t="s">
        <v>3</v>
      </c>
      <c r="M94" s="1" t="s">
        <v>2</v>
      </c>
      <c r="N94" s="1" t="s">
        <v>3</v>
      </c>
      <c r="O94" s="1" t="s">
        <v>2</v>
      </c>
      <c r="P94" s="1" t="s">
        <v>3</v>
      </c>
      <c r="Q94" s="1" t="s">
        <v>2</v>
      </c>
      <c r="R94" s="1" t="s">
        <v>2</v>
      </c>
      <c r="S94" s="1" t="s">
        <v>3</v>
      </c>
      <c r="T94" s="1" t="s">
        <v>2</v>
      </c>
      <c r="U94" s="1" t="s">
        <v>2</v>
      </c>
      <c r="V94" s="1" t="s">
        <v>2</v>
      </c>
      <c r="W94" s="1" t="s">
        <v>3</v>
      </c>
      <c r="X94" s="1" t="s">
        <v>2</v>
      </c>
      <c r="Y94" s="1" t="s">
        <v>2</v>
      </c>
      <c r="Z94" s="1" t="s">
        <v>2</v>
      </c>
      <c r="AA94" s="1" t="s">
        <v>2</v>
      </c>
      <c r="AB94" s="1" t="s">
        <v>2</v>
      </c>
      <c r="AC94" s="1" t="s">
        <v>2</v>
      </c>
      <c r="AD94" s="1" t="s">
        <v>2</v>
      </c>
      <c r="AE94" s="1" t="s">
        <v>2</v>
      </c>
      <c r="AF94" s="1" t="s">
        <v>2</v>
      </c>
      <c r="AG94" s="1" t="s">
        <v>2</v>
      </c>
      <c r="AH94" s="1" t="s">
        <v>2</v>
      </c>
      <c r="AI94" s="1" t="s">
        <v>2</v>
      </c>
      <c r="AJ94" s="1" t="s">
        <v>2</v>
      </c>
      <c r="AK94" s="1" t="s">
        <v>2</v>
      </c>
      <c r="AL94" s="1" t="s">
        <v>2</v>
      </c>
      <c r="AM94" s="1" t="s">
        <v>2</v>
      </c>
      <c r="AN94" s="1" t="s">
        <v>2</v>
      </c>
      <c r="AO94" s="1" t="s">
        <v>2</v>
      </c>
      <c r="AP94" s="1" t="s">
        <v>2</v>
      </c>
      <c r="AQ94" s="1" t="s">
        <v>2</v>
      </c>
      <c r="AR94" s="1" t="s">
        <v>2</v>
      </c>
      <c r="AS94" s="1" t="s">
        <v>2</v>
      </c>
      <c r="AT94" s="1" t="s">
        <v>2</v>
      </c>
      <c r="AU94" s="1" t="s">
        <v>2</v>
      </c>
      <c r="AV94" s="1" t="s">
        <v>2</v>
      </c>
      <c r="AW94" s="1" t="s">
        <v>3</v>
      </c>
      <c r="AX94" s="1" t="s">
        <v>2</v>
      </c>
      <c r="AY94" s="1" t="s">
        <v>2</v>
      </c>
      <c r="AZ94" s="1" t="s">
        <v>2</v>
      </c>
      <c r="BA94">
        <f>IF(V94="YES",1,0)</f>
        <v>0</v>
      </c>
      <c r="BB94">
        <f>IF(AT94="YES",1,0)</f>
        <v>0</v>
      </c>
      <c r="BC94">
        <f>MAX(BA94,BB94)*B94</f>
        <v>0</v>
      </c>
    </row>
    <row r="95" spans="1:55" x14ac:dyDescent="0.35">
      <c r="A95" s="2">
        <v>93</v>
      </c>
      <c r="B95" s="3">
        <f>COUNTIF(C95:AZ95,"YES")</f>
        <v>3</v>
      </c>
      <c r="C95" s="1" t="s">
        <v>2</v>
      </c>
      <c r="D95" s="1" t="s">
        <v>2</v>
      </c>
      <c r="E95" s="1" t="s">
        <v>2</v>
      </c>
      <c r="F95" s="1" t="s">
        <v>2</v>
      </c>
      <c r="G95" s="1" t="s">
        <v>3</v>
      </c>
      <c r="H95" s="1" t="s">
        <v>2</v>
      </c>
      <c r="I95" s="1" t="s">
        <v>2</v>
      </c>
      <c r="J95" s="1" t="s">
        <v>2</v>
      </c>
      <c r="K95" s="1" t="s">
        <v>2</v>
      </c>
      <c r="L95" s="1" t="s">
        <v>2</v>
      </c>
      <c r="M95" s="1" t="s">
        <v>2</v>
      </c>
      <c r="N95" s="1" t="s">
        <v>2</v>
      </c>
      <c r="O95" s="1" t="s">
        <v>2</v>
      </c>
      <c r="P95" s="1" t="s">
        <v>2</v>
      </c>
      <c r="Q95" s="1" t="s">
        <v>2</v>
      </c>
      <c r="R95" s="1" t="s">
        <v>2</v>
      </c>
      <c r="S95" s="1" t="s">
        <v>2</v>
      </c>
      <c r="T95" s="1" t="s">
        <v>2</v>
      </c>
      <c r="U95" s="1" t="s">
        <v>3</v>
      </c>
      <c r="V95" s="1" t="s">
        <v>2</v>
      </c>
      <c r="W95" s="1" t="s">
        <v>2</v>
      </c>
      <c r="X95" s="1" t="s">
        <v>2</v>
      </c>
      <c r="Y95" s="1" t="s">
        <v>2</v>
      </c>
      <c r="Z95" s="1" t="s">
        <v>2</v>
      </c>
      <c r="AA95" s="1" t="s">
        <v>2</v>
      </c>
      <c r="AB95" s="1" t="s">
        <v>2</v>
      </c>
      <c r="AC95" s="1" t="s">
        <v>2</v>
      </c>
      <c r="AD95" s="1" t="s">
        <v>2</v>
      </c>
      <c r="AE95" s="1" t="s">
        <v>2</v>
      </c>
      <c r="AF95" s="1" t="s">
        <v>2</v>
      </c>
      <c r="AG95" s="1" t="s">
        <v>2</v>
      </c>
      <c r="AH95" s="1" t="s">
        <v>2</v>
      </c>
      <c r="AI95" s="1" t="s">
        <v>2</v>
      </c>
      <c r="AJ95" s="1" t="s">
        <v>2</v>
      </c>
      <c r="AK95" s="1" t="s">
        <v>2</v>
      </c>
      <c r="AL95" s="1" t="s">
        <v>2</v>
      </c>
      <c r="AM95" s="1" t="s">
        <v>2</v>
      </c>
      <c r="AN95" s="1" t="s">
        <v>2</v>
      </c>
      <c r="AO95" s="1" t="s">
        <v>2</v>
      </c>
      <c r="AP95" s="1" t="s">
        <v>2</v>
      </c>
      <c r="AQ95" s="1" t="s">
        <v>2</v>
      </c>
      <c r="AR95" s="1" t="s">
        <v>2</v>
      </c>
      <c r="AS95" s="1" t="s">
        <v>2</v>
      </c>
      <c r="AT95" s="1" t="s">
        <v>2</v>
      </c>
      <c r="AU95" s="1" t="s">
        <v>3</v>
      </c>
      <c r="AV95" s="1" t="s">
        <v>2</v>
      </c>
      <c r="AW95" s="1" t="s">
        <v>2</v>
      </c>
      <c r="AX95" s="1" t="s">
        <v>2</v>
      </c>
      <c r="AY95" s="1" t="s">
        <v>2</v>
      </c>
      <c r="AZ95" s="1" t="s">
        <v>2</v>
      </c>
      <c r="BA95">
        <f>IF(V95="YES",1,0)</f>
        <v>0</v>
      </c>
      <c r="BB95">
        <f>IF(AT95="YES",1,0)</f>
        <v>0</v>
      </c>
      <c r="BC95">
        <f>MAX(BA95,BB95)*B95</f>
        <v>0</v>
      </c>
    </row>
    <row r="96" spans="1:55" x14ac:dyDescent="0.35">
      <c r="A96" s="2">
        <v>94</v>
      </c>
      <c r="B96" s="3">
        <f>COUNTIF(C96:AZ96,"YES")</f>
        <v>7</v>
      </c>
      <c r="C96" s="1" t="s">
        <v>2</v>
      </c>
      <c r="D96" s="1" t="s">
        <v>2</v>
      </c>
      <c r="E96" s="1" t="s">
        <v>2</v>
      </c>
      <c r="F96" s="1" t="s">
        <v>2</v>
      </c>
      <c r="G96" s="1" t="s">
        <v>2</v>
      </c>
      <c r="H96" s="1" t="s">
        <v>2</v>
      </c>
      <c r="I96" s="1" t="s">
        <v>2</v>
      </c>
      <c r="J96" s="1" t="s">
        <v>2</v>
      </c>
      <c r="K96" s="1" t="s">
        <v>3</v>
      </c>
      <c r="L96" s="1" t="s">
        <v>2</v>
      </c>
      <c r="M96" s="1" t="s">
        <v>2</v>
      </c>
      <c r="N96" s="1" t="s">
        <v>2</v>
      </c>
      <c r="O96" s="1" t="s">
        <v>3</v>
      </c>
      <c r="P96" s="1" t="s">
        <v>3</v>
      </c>
      <c r="Q96" s="1" t="s">
        <v>2</v>
      </c>
      <c r="R96" s="1" t="s">
        <v>2</v>
      </c>
      <c r="S96" s="1" t="s">
        <v>3</v>
      </c>
      <c r="T96" s="1" t="s">
        <v>2</v>
      </c>
      <c r="U96" s="1" t="s">
        <v>2</v>
      </c>
      <c r="V96" s="1" t="s">
        <v>2</v>
      </c>
      <c r="W96" s="1" t="s">
        <v>2</v>
      </c>
      <c r="X96" s="1" t="s">
        <v>2</v>
      </c>
      <c r="Y96" s="1" t="s">
        <v>2</v>
      </c>
      <c r="Z96" s="1" t="s">
        <v>2</v>
      </c>
      <c r="AA96" s="1" t="s">
        <v>2</v>
      </c>
      <c r="AB96" s="1" t="s">
        <v>2</v>
      </c>
      <c r="AC96" s="1" t="s">
        <v>2</v>
      </c>
      <c r="AD96" s="1" t="s">
        <v>2</v>
      </c>
      <c r="AE96" s="1" t="s">
        <v>2</v>
      </c>
      <c r="AF96" s="1" t="s">
        <v>3</v>
      </c>
      <c r="AG96" s="1" t="s">
        <v>2</v>
      </c>
      <c r="AH96" s="1" t="s">
        <v>2</v>
      </c>
      <c r="AI96" s="1" t="s">
        <v>2</v>
      </c>
      <c r="AJ96" s="1" t="s">
        <v>2</v>
      </c>
      <c r="AK96" s="1" t="s">
        <v>2</v>
      </c>
      <c r="AL96" s="1" t="s">
        <v>2</v>
      </c>
      <c r="AM96" s="1" t="s">
        <v>2</v>
      </c>
      <c r="AN96" s="1" t="s">
        <v>2</v>
      </c>
      <c r="AO96" s="1" t="s">
        <v>2</v>
      </c>
      <c r="AP96" s="1" t="s">
        <v>2</v>
      </c>
      <c r="AQ96" s="1" t="s">
        <v>2</v>
      </c>
      <c r="AR96" s="1" t="s">
        <v>3</v>
      </c>
      <c r="AS96" s="1" t="s">
        <v>2</v>
      </c>
      <c r="AT96" s="1" t="s">
        <v>2</v>
      </c>
      <c r="AU96" s="1" t="s">
        <v>2</v>
      </c>
      <c r="AV96" s="1" t="s">
        <v>2</v>
      </c>
      <c r="AW96" s="1" t="s">
        <v>2</v>
      </c>
      <c r="AX96" s="1" t="s">
        <v>3</v>
      </c>
      <c r="AY96" s="1" t="s">
        <v>2</v>
      </c>
      <c r="AZ96" s="1" t="s">
        <v>2</v>
      </c>
      <c r="BA96">
        <f>IF(V96="YES",1,0)</f>
        <v>0</v>
      </c>
      <c r="BB96">
        <f>IF(AT96="YES",1,0)</f>
        <v>0</v>
      </c>
      <c r="BC96">
        <f>MAX(BA96,BB96)*B96</f>
        <v>0</v>
      </c>
    </row>
    <row r="97" spans="1:55" x14ac:dyDescent="0.35">
      <c r="A97" s="2">
        <v>95</v>
      </c>
      <c r="B97" s="3">
        <f>COUNTIF(C97:AZ97,"YES")</f>
        <v>7</v>
      </c>
      <c r="C97" s="1" t="s">
        <v>2</v>
      </c>
      <c r="D97" s="1" t="s">
        <v>2</v>
      </c>
      <c r="E97" s="1" t="s">
        <v>2</v>
      </c>
      <c r="F97" s="1" t="s">
        <v>2</v>
      </c>
      <c r="G97" s="1" t="s">
        <v>2</v>
      </c>
      <c r="H97" s="1" t="s">
        <v>2</v>
      </c>
      <c r="I97" s="1" t="s">
        <v>2</v>
      </c>
      <c r="J97" s="1" t="s">
        <v>2</v>
      </c>
      <c r="K97" s="1" t="s">
        <v>2</v>
      </c>
      <c r="L97" s="1" t="s">
        <v>3</v>
      </c>
      <c r="M97" s="1" t="s">
        <v>2</v>
      </c>
      <c r="N97" s="1" t="s">
        <v>3</v>
      </c>
      <c r="O97" s="1" t="s">
        <v>2</v>
      </c>
      <c r="P97" s="1" t="s">
        <v>2</v>
      </c>
      <c r="Q97" s="1" t="s">
        <v>2</v>
      </c>
      <c r="R97" s="1" t="s">
        <v>2</v>
      </c>
      <c r="S97" s="1" t="s">
        <v>2</v>
      </c>
      <c r="T97" s="1" t="s">
        <v>2</v>
      </c>
      <c r="U97" s="1" t="s">
        <v>2</v>
      </c>
      <c r="V97" s="1" t="s">
        <v>2</v>
      </c>
      <c r="W97" s="1" t="s">
        <v>2</v>
      </c>
      <c r="X97" s="1" t="s">
        <v>2</v>
      </c>
      <c r="Y97" s="1" t="s">
        <v>2</v>
      </c>
      <c r="Z97" s="1" t="s">
        <v>3</v>
      </c>
      <c r="AA97" s="1" t="s">
        <v>2</v>
      </c>
      <c r="AB97" s="1" t="s">
        <v>2</v>
      </c>
      <c r="AC97" s="1" t="s">
        <v>2</v>
      </c>
      <c r="AD97" s="1" t="s">
        <v>2</v>
      </c>
      <c r="AE97" s="1" t="s">
        <v>3</v>
      </c>
      <c r="AF97" s="1" t="s">
        <v>2</v>
      </c>
      <c r="AG97" s="1" t="s">
        <v>2</v>
      </c>
      <c r="AH97" s="1" t="s">
        <v>2</v>
      </c>
      <c r="AI97" s="1" t="s">
        <v>2</v>
      </c>
      <c r="AJ97" s="1" t="s">
        <v>2</v>
      </c>
      <c r="AK97" s="1" t="s">
        <v>2</v>
      </c>
      <c r="AL97" s="1" t="s">
        <v>2</v>
      </c>
      <c r="AM97" s="1" t="s">
        <v>2</v>
      </c>
      <c r="AN97" s="1" t="s">
        <v>2</v>
      </c>
      <c r="AO97" s="1" t="s">
        <v>2</v>
      </c>
      <c r="AP97" s="1" t="s">
        <v>2</v>
      </c>
      <c r="AQ97" s="1" t="s">
        <v>2</v>
      </c>
      <c r="AR97" s="1" t="s">
        <v>2</v>
      </c>
      <c r="AS97" s="1" t="s">
        <v>2</v>
      </c>
      <c r="AT97" s="1" t="s">
        <v>2</v>
      </c>
      <c r="AU97" s="1" t="s">
        <v>3</v>
      </c>
      <c r="AV97" s="1" t="s">
        <v>2</v>
      </c>
      <c r="AW97" s="1" t="s">
        <v>3</v>
      </c>
      <c r="AX97" s="1" t="s">
        <v>2</v>
      </c>
      <c r="AY97" s="1" t="s">
        <v>3</v>
      </c>
      <c r="AZ97" s="1" t="s">
        <v>2</v>
      </c>
      <c r="BA97">
        <f>IF(V97="YES",1,0)</f>
        <v>0</v>
      </c>
      <c r="BB97">
        <f>IF(AT97="YES",1,0)</f>
        <v>0</v>
      </c>
      <c r="BC97">
        <f>MAX(BA97,BB97)*B97</f>
        <v>0</v>
      </c>
    </row>
    <row r="98" spans="1:55" x14ac:dyDescent="0.35">
      <c r="A98" s="2">
        <v>96</v>
      </c>
      <c r="B98" s="3">
        <f>COUNTIF(C98:AZ98,"YES")</f>
        <v>9</v>
      </c>
      <c r="C98" s="1" t="s">
        <v>2</v>
      </c>
      <c r="D98" s="1" t="s">
        <v>2</v>
      </c>
      <c r="E98" s="1" t="s">
        <v>2</v>
      </c>
      <c r="F98" s="1" t="s">
        <v>2</v>
      </c>
      <c r="G98" s="1" t="s">
        <v>2</v>
      </c>
      <c r="H98" s="1" t="s">
        <v>2</v>
      </c>
      <c r="I98" s="1" t="s">
        <v>2</v>
      </c>
      <c r="J98" s="1" t="s">
        <v>2</v>
      </c>
      <c r="K98" s="1" t="s">
        <v>3</v>
      </c>
      <c r="L98" s="1" t="s">
        <v>2</v>
      </c>
      <c r="M98" s="1" t="s">
        <v>2</v>
      </c>
      <c r="N98" s="1" t="s">
        <v>2</v>
      </c>
      <c r="O98" s="1" t="s">
        <v>3</v>
      </c>
      <c r="P98" s="1" t="s">
        <v>2</v>
      </c>
      <c r="Q98" s="1" t="s">
        <v>2</v>
      </c>
      <c r="R98" s="1" t="s">
        <v>2</v>
      </c>
      <c r="S98" s="1" t="s">
        <v>2</v>
      </c>
      <c r="T98" s="1" t="s">
        <v>3</v>
      </c>
      <c r="U98" s="1" t="s">
        <v>2</v>
      </c>
      <c r="V98" s="1" t="s">
        <v>2</v>
      </c>
      <c r="W98" s="1" t="s">
        <v>2</v>
      </c>
      <c r="X98" s="1" t="s">
        <v>2</v>
      </c>
      <c r="Y98" s="1" t="s">
        <v>2</v>
      </c>
      <c r="Z98" s="1" t="s">
        <v>2</v>
      </c>
      <c r="AA98" s="1" t="s">
        <v>2</v>
      </c>
      <c r="AB98" s="1" t="s">
        <v>2</v>
      </c>
      <c r="AC98" s="1" t="s">
        <v>2</v>
      </c>
      <c r="AD98" s="1" t="s">
        <v>3</v>
      </c>
      <c r="AE98" s="1" t="s">
        <v>2</v>
      </c>
      <c r="AF98" s="1" t="s">
        <v>2</v>
      </c>
      <c r="AG98" s="1" t="s">
        <v>2</v>
      </c>
      <c r="AH98" s="1" t="s">
        <v>2</v>
      </c>
      <c r="AI98" s="1" t="s">
        <v>3</v>
      </c>
      <c r="AJ98" s="1" t="s">
        <v>2</v>
      </c>
      <c r="AK98" s="1" t="s">
        <v>2</v>
      </c>
      <c r="AL98" s="1" t="s">
        <v>3</v>
      </c>
      <c r="AM98" s="1" t="s">
        <v>2</v>
      </c>
      <c r="AN98" s="1" t="s">
        <v>2</v>
      </c>
      <c r="AO98" s="1" t="s">
        <v>2</v>
      </c>
      <c r="AP98" s="1" t="s">
        <v>2</v>
      </c>
      <c r="AQ98" s="1" t="s">
        <v>2</v>
      </c>
      <c r="AR98" s="1" t="s">
        <v>3</v>
      </c>
      <c r="AS98" s="1" t="s">
        <v>2</v>
      </c>
      <c r="AT98" s="1" t="s">
        <v>2</v>
      </c>
      <c r="AU98" s="1" t="s">
        <v>2</v>
      </c>
      <c r="AV98" s="1" t="s">
        <v>3</v>
      </c>
      <c r="AW98" s="1" t="s">
        <v>2</v>
      </c>
      <c r="AX98" s="1" t="s">
        <v>3</v>
      </c>
      <c r="AY98" s="1" t="s">
        <v>2</v>
      </c>
      <c r="AZ98" s="1" t="s">
        <v>2</v>
      </c>
      <c r="BA98">
        <f>IF(V98="YES",1,0)</f>
        <v>0</v>
      </c>
      <c r="BB98">
        <f>IF(AT98="YES",1,0)</f>
        <v>0</v>
      </c>
      <c r="BC98">
        <f>MAX(BA98,BB98)*B98</f>
        <v>0</v>
      </c>
    </row>
    <row r="99" spans="1:55" x14ac:dyDescent="0.35">
      <c r="A99" s="2">
        <v>97</v>
      </c>
      <c r="B99" s="3">
        <f>COUNTIF(C99:AZ99,"YES")</f>
        <v>6</v>
      </c>
      <c r="C99" s="1" t="s">
        <v>2</v>
      </c>
      <c r="D99" s="1" t="s">
        <v>2</v>
      </c>
      <c r="E99" s="1" t="s">
        <v>2</v>
      </c>
      <c r="F99" s="1" t="s">
        <v>3</v>
      </c>
      <c r="G99" s="1" t="s">
        <v>2</v>
      </c>
      <c r="H99" s="1" t="s">
        <v>3</v>
      </c>
      <c r="I99" s="1" t="s">
        <v>2</v>
      </c>
      <c r="J99" s="1" t="s">
        <v>2</v>
      </c>
      <c r="K99" s="1" t="s">
        <v>2</v>
      </c>
      <c r="L99" s="1" t="s">
        <v>2</v>
      </c>
      <c r="M99" s="1" t="s">
        <v>2</v>
      </c>
      <c r="N99" s="1" t="s">
        <v>2</v>
      </c>
      <c r="O99" s="1" t="s">
        <v>2</v>
      </c>
      <c r="P99" s="1" t="s">
        <v>2</v>
      </c>
      <c r="Q99" s="1" t="s">
        <v>2</v>
      </c>
      <c r="R99" s="1" t="s">
        <v>2</v>
      </c>
      <c r="S99" s="1" t="s">
        <v>2</v>
      </c>
      <c r="T99" s="1" t="s">
        <v>2</v>
      </c>
      <c r="U99" s="1" t="s">
        <v>2</v>
      </c>
      <c r="V99" s="1" t="s">
        <v>2</v>
      </c>
      <c r="W99" s="1" t="s">
        <v>2</v>
      </c>
      <c r="X99" s="1" t="s">
        <v>2</v>
      </c>
      <c r="Y99" s="1" t="s">
        <v>2</v>
      </c>
      <c r="Z99" s="1" t="s">
        <v>2</v>
      </c>
      <c r="AA99" s="1" t="s">
        <v>2</v>
      </c>
      <c r="AB99" s="1" t="s">
        <v>3</v>
      </c>
      <c r="AC99" s="1" t="s">
        <v>2</v>
      </c>
      <c r="AD99" s="1" t="s">
        <v>2</v>
      </c>
      <c r="AE99" s="1" t="s">
        <v>2</v>
      </c>
      <c r="AF99" s="1" t="s">
        <v>3</v>
      </c>
      <c r="AG99" s="1" t="s">
        <v>2</v>
      </c>
      <c r="AH99" s="1" t="s">
        <v>2</v>
      </c>
      <c r="AI99" s="1" t="s">
        <v>2</v>
      </c>
      <c r="AJ99" s="1" t="s">
        <v>2</v>
      </c>
      <c r="AK99" s="1" t="s">
        <v>2</v>
      </c>
      <c r="AL99" s="1" t="s">
        <v>2</v>
      </c>
      <c r="AM99" s="1" t="s">
        <v>2</v>
      </c>
      <c r="AN99" s="1" t="s">
        <v>2</v>
      </c>
      <c r="AO99" s="1" t="s">
        <v>2</v>
      </c>
      <c r="AP99" s="1" t="s">
        <v>2</v>
      </c>
      <c r="AQ99" s="1" t="s">
        <v>3</v>
      </c>
      <c r="AR99" s="1" t="s">
        <v>2</v>
      </c>
      <c r="AS99" s="1" t="s">
        <v>2</v>
      </c>
      <c r="AT99" s="1" t="s">
        <v>2</v>
      </c>
      <c r="AU99" s="1" t="s">
        <v>2</v>
      </c>
      <c r="AV99" s="1" t="s">
        <v>3</v>
      </c>
      <c r="AW99" s="1" t="s">
        <v>2</v>
      </c>
      <c r="AX99" s="1" t="s">
        <v>2</v>
      </c>
      <c r="AY99" s="1" t="s">
        <v>2</v>
      </c>
      <c r="AZ99" s="1" t="s">
        <v>2</v>
      </c>
      <c r="BA99">
        <f>IF(V99="YES",1,0)</f>
        <v>0</v>
      </c>
      <c r="BB99">
        <f>IF(AT99="YES",1,0)</f>
        <v>0</v>
      </c>
      <c r="BC99">
        <f>MAX(BA99,BB99)*B99</f>
        <v>0</v>
      </c>
    </row>
    <row r="100" spans="1:55" x14ac:dyDescent="0.35">
      <c r="A100" s="2">
        <v>99</v>
      </c>
      <c r="B100" s="3">
        <f>COUNTIF(C100:AZ100,"YES")</f>
        <v>7</v>
      </c>
      <c r="C100" s="1" t="s">
        <v>2</v>
      </c>
      <c r="D100" s="1" t="s">
        <v>2</v>
      </c>
      <c r="E100" s="1" t="s">
        <v>2</v>
      </c>
      <c r="F100" s="1" t="s">
        <v>2</v>
      </c>
      <c r="G100" s="1" t="s">
        <v>3</v>
      </c>
      <c r="H100" s="1" t="s">
        <v>2</v>
      </c>
      <c r="I100" s="1" t="s">
        <v>2</v>
      </c>
      <c r="J100" s="1" t="s">
        <v>2</v>
      </c>
      <c r="K100" s="1" t="s">
        <v>2</v>
      </c>
      <c r="L100" s="1" t="s">
        <v>2</v>
      </c>
      <c r="M100" s="1" t="s">
        <v>2</v>
      </c>
      <c r="N100" s="1" t="s">
        <v>2</v>
      </c>
      <c r="O100" s="1" t="s">
        <v>2</v>
      </c>
      <c r="P100" s="1" t="s">
        <v>2</v>
      </c>
      <c r="Q100" s="1" t="s">
        <v>2</v>
      </c>
      <c r="R100" s="1" t="s">
        <v>2</v>
      </c>
      <c r="S100" s="1" t="s">
        <v>3</v>
      </c>
      <c r="T100" s="1" t="s">
        <v>2</v>
      </c>
      <c r="U100" s="1" t="s">
        <v>3</v>
      </c>
      <c r="V100" s="1" t="s">
        <v>2</v>
      </c>
      <c r="W100" s="1" t="s">
        <v>2</v>
      </c>
      <c r="X100" s="1" t="s">
        <v>2</v>
      </c>
      <c r="Y100" s="1" t="s">
        <v>2</v>
      </c>
      <c r="Z100" s="1" t="s">
        <v>3</v>
      </c>
      <c r="AA100" s="1" t="s">
        <v>2</v>
      </c>
      <c r="AB100" s="1" t="s">
        <v>2</v>
      </c>
      <c r="AC100" s="1" t="s">
        <v>2</v>
      </c>
      <c r="AD100" s="1" t="s">
        <v>2</v>
      </c>
      <c r="AE100" s="1" t="s">
        <v>3</v>
      </c>
      <c r="AF100" s="1" t="s">
        <v>2</v>
      </c>
      <c r="AG100" s="1" t="s">
        <v>2</v>
      </c>
      <c r="AH100" s="1" t="s">
        <v>2</v>
      </c>
      <c r="AI100" s="1" t="s">
        <v>2</v>
      </c>
      <c r="AJ100" s="1" t="s">
        <v>2</v>
      </c>
      <c r="AK100" s="1" t="s">
        <v>2</v>
      </c>
      <c r="AL100" s="1" t="s">
        <v>2</v>
      </c>
      <c r="AM100" s="1" t="s">
        <v>3</v>
      </c>
      <c r="AN100" s="1" t="s">
        <v>2</v>
      </c>
      <c r="AO100" s="1" t="s">
        <v>2</v>
      </c>
      <c r="AP100" s="1" t="s">
        <v>2</v>
      </c>
      <c r="AQ100" s="1" t="s">
        <v>2</v>
      </c>
      <c r="AR100" s="1" t="s">
        <v>2</v>
      </c>
      <c r="AS100" s="1" t="s">
        <v>2</v>
      </c>
      <c r="AT100" s="1" t="s">
        <v>2</v>
      </c>
      <c r="AU100" s="1" t="s">
        <v>3</v>
      </c>
      <c r="AV100" s="1" t="s">
        <v>2</v>
      </c>
      <c r="AW100" s="1" t="s">
        <v>2</v>
      </c>
      <c r="AX100" s="1" t="s">
        <v>2</v>
      </c>
      <c r="AY100" s="1" t="s">
        <v>2</v>
      </c>
      <c r="AZ100" s="1" t="s">
        <v>2</v>
      </c>
      <c r="BA100">
        <f>IF(V100="YES",1,0)</f>
        <v>0</v>
      </c>
      <c r="BB100">
        <f>IF(AT100="YES",1,0)</f>
        <v>0</v>
      </c>
      <c r="BC100">
        <f>MAX(BA100,BB100)*B100</f>
        <v>0</v>
      </c>
    </row>
    <row r="101" spans="1:55" x14ac:dyDescent="0.35">
      <c r="A101" s="2">
        <v>100</v>
      </c>
      <c r="B101" s="3">
        <f>COUNTIF(C101:AZ101,"YES")</f>
        <v>9</v>
      </c>
      <c r="C101" s="1" t="s">
        <v>2</v>
      </c>
      <c r="D101" s="1" t="s">
        <v>2</v>
      </c>
      <c r="E101" s="1" t="s">
        <v>2</v>
      </c>
      <c r="F101" s="1" t="s">
        <v>2</v>
      </c>
      <c r="G101" s="1" t="s">
        <v>3</v>
      </c>
      <c r="H101" s="1" t="s">
        <v>2</v>
      </c>
      <c r="I101" s="1" t="s">
        <v>2</v>
      </c>
      <c r="J101" s="1" t="s">
        <v>3</v>
      </c>
      <c r="K101" s="1" t="s">
        <v>2</v>
      </c>
      <c r="L101" s="1" t="s">
        <v>3</v>
      </c>
      <c r="M101" s="1" t="s">
        <v>2</v>
      </c>
      <c r="N101" s="1" t="s">
        <v>2</v>
      </c>
      <c r="O101" s="1" t="s">
        <v>2</v>
      </c>
      <c r="P101" s="1" t="s">
        <v>2</v>
      </c>
      <c r="Q101" s="1" t="s">
        <v>2</v>
      </c>
      <c r="R101" s="1" t="s">
        <v>2</v>
      </c>
      <c r="S101" s="1" t="s">
        <v>2</v>
      </c>
      <c r="T101" s="1" t="s">
        <v>2</v>
      </c>
      <c r="U101" s="1" t="s">
        <v>3</v>
      </c>
      <c r="V101" s="1" t="s">
        <v>2</v>
      </c>
      <c r="W101" s="1" t="s">
        <v>2</v>
      </c>
      <c r="X101" s="1" t="s">
        <v>2</v>
      </c>
      <c r="Y101" s="1" t="s">
        <v>2</v>
      </c>
      <c r="Z101" s="1" t="s">
        <v>2</v>
      </c>
      <c r="AA101" s="1" t="s">
        <v>3</v>
      </c>
      <c r="AB101" s="1" t="s">
        <v>2</v>
      </c>
      <c r="AC101" s="1" t="s">
        <v>2</v>
      </c>
      <c r="AD101" s="1" t="s">
        <v>2</v>
      </c>
      <c r="AE101" s="1" t="s">
        <v>2</v>
      </c>
      <c r="AF101" s="1" t="s">
        <v>2</v>
      </c>
      <c r="AG101" s="1" t="s">
        <v>2</v>
      </c>
      <c r="AH101" s="1" t="s">
        <v>2</v>
      </c>
      <c r="AI101" s="1" t="s">
        <v>3</v>
      </c>
      <c r="AJ101" s="1" t="s">
        <v>3</v>
      </c>
      <c r="AK101" s="1" t="s">
        <v>2</v>
      </c>
      <c r="AL101" s="1" t="s">
        <v>2</v>
      </c>
      <c r="AM101" s="1" t="s">
        <v>3</v>
      </c>
      <c r="AN101" s="1" t="s">
        <v>2</v>
      </c>
      <c r="AO101" s="1" t="s">
        <v>2</v>
      </c>
      <c r="AP101" s="1" t="s">
        <v>2</v>
      </c>
      <c r="AQ101" s="1" t="s">
        <v>2</v>
      </c>
      <c r="AR101" s="1" t="s">
        <v>2</v>
      </c>
      <c r="AS101" s="1" t="s">
        <v>3</v>
      </c>
      <c r="AT101" s="1" t="s">
        <v>2</v>
      </c>
      <c r="AU101" s="1" t="s">
        <v>2</v>
      </c>
      <c r="AV101" s="1" t="s">
        <v>2</v>
      </c>
      <c r="AW101" s="1" t="s">
        <v>2</v>
      </c>
      <c r="AX101" s="1" t="s">
        <v>2</v>
      </c>
      <c r="AY101" s="1" t="s">
        <v>2</v>
      </c>
      <c r="AZ101" s="1" t="s">
        <v>2</v>
      </c>
      <c r="BA101">
        <f>IF(V101="YES",1,0)</f>
        <v>0</v>
      </c>
      <c r="BB101">
        <f>IF(AT101="YES",1,0)</f>
        <v>0</v>
      </c>
      <c r="BC101">
        <f>MAX(BA101,BB101)*B101</f>
        <v>0</v>
      </c>
    </row>
    <row r="104" spans="1:55" x14ac:dyDescent="0.35">
      <c r="A104">
        <f>MAX(C104:AZ104)</f>
        <v>16318</v>
      </c>
      <c r="B104" t="s">
        <v>4</v>
      </c>
      <c r="C104">
        <v>13088</v>
      </c>
      <c r="D104">
        <v>8996</v>
      </c>
      <c r="E104">
        <v>10115</v>
      </c>
      <c r="F104">
        <v>4276</v>
      </c>
      <c r="G104">
        <v>11382</v>
      </c>
      <c r="H104">
        <v>8874</v>
      </c>
      <c r="I104">
        <v>13643</v>
      </c>
      <c r="J104">
        <v>13439</v>
      </c>
      <c r="K104">
        <v>14488</v>
      </c>
      <c r="L104">
        <v>11862</v>
      </c>
      <c r="M104">
        <v>14349</v>
      </c>
      <c r="N104">
        <v>11159</v>
      </c>
      <c r="O104">
        <v>14488</v>
      </c>
      <c r="P104">
        <v>7813</v>
      </c>
      <c r="Q104">
        <v>8107</v>
      </c>
      <c r="R104">
        <v>5419</v>
      </c>
      <c r="S104">
        <v>5774</v>
      </c>
      <c r="T104">
        <v>14393</v>
      </c>
      <c r="U104">
        <v>11382</v>
      </c>
      <c r="V104" s="4">
        <v>16318</v>
      </c>
      <c r="W104">
        <v>13368</v>
      </c>
      <c r="X104">
        <v>10599</v>
      </c>
      <c r="Y104">
        <v>10171</v>
      </c>
      <c r="Z104">
        <v>12839</v>
      </c>
      <c r="AA104">
        <v>12184</v>
      </c>
      <c r="AB104">
        <v>1995</v>
      </c>
      <c r="AC104">
        <v>11025</v>
      </c>
      <c r="AD104">
        <v>14393</v>
      </c>
      <c r="AE104">
        <v>13090</v>
      </c>
      <c r="AF104">
        <v>4713</v>
      </c>
      <c r="AG104">
        <v>13302</v>
      </c>
      <c r="AH104">
        <v>8107</v>
      </c>
      <c r="AI104">
        <v>10963</v>
      </c>
      <c r="AJ104">
        <v>10840</v>
      </c>
      <c r="AK104">
        <v>11846</v>
      </c>
      <c r="AL104">
        <v>12473</v>
      </c>
      <c r="AM104">
        <v>12947</v>
      </c>
      <c r="AN104">
        <v>14632</v>
      </c>
      <c r="AO104">
        <v>9841</v>
      </c>
      <c r="AP104">
        <v>13285</v>
      </c>
      <c r="AQ104">
        <v>7352</v>
      </c>
      <c r="AR104">
        <v>12396</v>
      </c>
      <c r="AS104">
        <v>12562</v>
      </c>
      <c r="AT104">
        <v>13882</v>
      </c>
      <c r="AU104">
        <v>9788</v>
      </c>
      <c r="AV104">
        <v>6852</v>
      </c>
      <c r="AW104">
        <v>10485</v>
      </c>
      <c r="AX104">
        <v>9901</v>
      </c>
      <c r="AY104">
        <v>12595</v>
      </c>
      <c r="AZ104">
        <v>11025</v>
      </c>
    </row>
    <row r="105" spans="1:55" x14ac:dyDescent="0.35">
      <c r="A105">
        <f t="shared" ref="A105:A106" si="0">MAX(C105:AZ105)</f>
        <v>13401</v>
      </c>
      <c r="B105" t="s">
        <v>5</v>
      </c>
      <c r="C105">
        <v>12300</v>
      </c>
      <c r="D105">
        <v>8310</v>
      </c>
      <c r="E105">
        <v>9181</v>
      </c>
      <c r="F105">
        <v>4276</v>
      </c>
      <c r="G105">
        <v>10559</v>
      </c>
      <c r="H105">
        <v>8118</v>
      </c>
      <c r="I105">
        <v>12318</v>
      </c>
      <c r="J105">
        <v>12586</v>
      </c>
      <c r="K105">
        <v>12166</v>
      </c>
      <c r="L105">
        <v>10828</v>
      </c>
      <c r="M105">
        <v>12158</v>
      </c>
      <c r="N105">
        <v>10250</v>
      </c>
      <c r="O105">
        <v>12166</v>
      </c>
      <c r="P105">
        <v>7813</v>
      </c>
      <c r="Q105">
        <v>7198</v>
      </c>
      <c r="R105">
        <v>5244</v>
      </c>
      <c r="S105">
        <v>5774</v>
      </c>
      <c r="T105">
        <v>12022</v>
      </c>
      <c r="U105">
        <v>10472</v>
      </c>
      <c r="V105" s="4">
        <v>13401</v>
      </c>
      <c r="W105">
        <v>12432</v>
      </c>
      <c r="X105">
        <v>10124</v>
      </c>
      <c r="Y105">
        <v>9422</v>
      </c>
      <c r="Z105">
        <v>12300</v>
      </c>
      <c r="AA105">
        <v>10935</v>
      </c>
      <c r="AB105">
        <v>1995</v>
      </c>
      <c r="AC105">
        <v>10178</v>
      </c>
      <c r="AD105">
        <v>12022</v>
      </c>
      <c r="AE105">
        <v>12551</v>
      </c>
      <c r="AF105">
        <v>4713</v>
      </c>
      <c r="AG105">
        <v>12823</v>
      </c>
      <c r="AH105">
        <v>7198</v>
      </c>
      <c r="AI105">
        <v>9246</v>
      </c>
      <c r="AJ105">
        <v>10131</v>
      </c>
      <c r="AK105">
        <v>10684</v>
      </c>
      <c r="AL105">
        <v>11879</v>
      </c>
      <c r="AM105">
        <v>12222</v>
      </c>
      <c r="AN105">
        <v>12460</v>
      </c>
      <c r="AO105">
        <v>9670</v>
      </c>
      <c r="AP105">
        <v>11243</v>
      </c>
      <c r="AQ105">
        <v>7352</v>
      </c>
      <c r="AR105">
        <v>11261</v>
      </c>
      <c r="AS105">
        <v>11542</v>
      </c>
      <c r="AT105" s="4">
        <v>13186</v>
      </c>
      <c r="AU105">
        <v>8903</v>
      </c>
      <c r="AV105">
        <v>6641</v>
      </c>
      <c r="AW105">
        <v>9035</v>
      </c>
      <c r="AX105">
        <v>9524</v>
      </c>
      <c r="AY105">
        <v>11972</v>
      </c>
      <c r="AZ105">
        <v>10178</v>
      </c>
    </row>
    <row r="106" spans="1:55" x14ac:dyDescent="0.35">
      <c r="A106">
        <f t="shared" si="0"/>
        <v>12991</v>
      </c>
      <c r="B106" t="s">
        <v>6</v>
      </c>
      <c r="C106">
        <v>12093</v>
      </c>
      <c r="D106">
        <v>8021</v>
      </c>
      <c r="E106">
        <v>8941</v>
      </c>
      <c r="F106">
        <v>4276</v>
      </c>
      <c r="G106">
        <v>10199</v>
      </c>
      <c r="H106">
        <v>7943</v>
      </c>
      <c r="I106">
        <v>12007</v>
      </c>
      <c r="J106">
        <v>12240</v>
      </c>
      <c r="K106">
        <v>11783</v>
      </c>
      <c r="L106">
        <v>10555</v>
      </c>
      <c r="M106">
        <v>11783</v>
      </c>
      <c r="N106">
        <v>9939</v>
      </c>
      <c r="O106">
        <v>11783</v>
      </c>
      <c r="P106">
        <v>7813</v>
      </c>
      <c r="Q106">
        <v>6908</v>
      </c>
      <c r="R106">
        <v>5244</v>
      </c>
      <c r="S106">
        <v>5770</v>
      </c>
      <c r="T106">
        <v>11634</v>
      </c>
      <c r="U106">
        <v>10199</v>
      </c>
      <c r="V106" s="4">
        <v>12991</v>
      </c>
      <c r="W106">
        <v>12143</v>
      </c>
      <c r="X106">
        <v>9817</v>
      </c>
      <c r="Y106">
        <v>9083</v>
      </c>
      <c r="Z106">
        <v>12011</v>
      </c>
      <c r="AA106">
        <v>10672</v>
      </c>
      <c r="AB106">
        <v>1881</v>
      </c>
      <c r="AC106">
        <v>9939</v>
      </c>
      <c r="AD106">
        <v>11634</v>
      </c>
      <c r="AE106">
        <v>12262</v>
      </c>
      <c r="AF106">
        <v>4713</v>
      </c>
      <c r="AG106">
        <v>12584</v>
      </c>
      <c r="AH106">
        <v>6908</v>
      </c>
      <c r="AI106">
        <v>8970</v>
      </c>
      <c r="AJ106">
        <v>9771</v>
      </c>
      <c r="AK106">
        <v>10334</v>
      </c>
      <c r="AL106">
        <v>11706</v>
      </c>
      <c r="AM106">
        <v>11915</v>
      </c>
      <c r="AN106">
        <v>12164</v>
      </c>
      <c r="AO106">
        <v>9491</v>
      </c>
      <c r="AP106">
        <v>10926</v>
      </c>
      <c r="AQ106">
        <v>7352</v>
      </c>
      <c r="AR106">
        <v>11083</v>
      </c>
      <c r="AS106">
        <v>11192</v>
      </c>
      <c r="AT106">
        <v>12946</v>
      </c>
      <c r="AU106">
        <v>8683</v>
      </c>
      <c r="AV106">
        <v>6641</v>
      </c>
      <c r="AW106">
        <v>8762</v>
      </c>
      <c r="AX106">
        <v>9347</v>
      </c>
      <c r="AY106">
        <v>11683</v>
      </c>
      <c r="AZ106">
        <v>9939</v>
      </c>
    </row>
  </sheetData>
  <autoFilter ref="A1:BC101" xr:uid="{00000000-0001-0000-0000-000000000000}">
    <sortState xmlns:xlrd2="http://schemas.microsoft.com/office/spreadsheetml/2017/richdata2" ref="A2:BC101">
      <sortCondition descending="1" ref="BC1:BC1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Ansari</dc:creator>
  <cp:lastModifiedBy>Ansari Hadipour, Mehdi</cp:lastModifiedBy>
  <dcterms:created xsi:type="dcterms:W3CDTF">2015-06-05T18:17:20Z</dcterms:created>
  <dcterms:modified xsi:type="dcterms:W3CDTF">2024-03-10T23:10:20Z</dcterms:modified>
</cp:coreProperties>
</file>